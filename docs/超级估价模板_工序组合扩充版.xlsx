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5f223176d4c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估价模板结构" sheetId="1" r:id="Rd83bf456254641b8"/>
    <x:sheet xmlns:r="http://schemas.openxmlformats.org/officeDocument/2006/relationships" name="原材料价格库" sheetId="2" r:id="Re1abcf895f784983"/>
    <x:sheet xmlns:r="http://schemas.openxmlformats.org/officeDocument/2006/relationships" name="工序价格库" sheetId="3" r:id="R4176ec73c5344289"/>
    <x:sheet xmlns:r="http://schemas.openxmlformats.org/officeDocument/2006/relationships" name="包装价格库" sheetId="5" r:id="Re95363cbb5134746"/>
    <x:sheet xmlns:r="http://schemas.openxmlformats.org/officeDocument/2006/relationships" name="工序组合模板库" sheetId="6" r:id="Rdf52c65a7ba44df0"/>
  </x:sheets>
</x:workbook>
</file>

<file path=xl/sharedStrings.xml><?xml version="1.0" encoding="utf-8"?>
<x:sst xmlns:x="http://schemas.openxmlformats.org/spreadsheetml/2006/main">
  <x:si>
    <x:t xml:space="preserve">零件号</x:t>
  </x:si>
  <x:si>
    <x:t xml:space="preserve">零件名称</x:t>
  </x:si>
  <x:si>
    <x:t xml:space="preserve">示意图</x:t>
  </x:si>
  <x:si>
    <x:t xml:space="preserve">加工工艺</x:t>
  </x:si>
  <x:si>
    <x:t xml:space="preserve">零件外形尺寸/mm</x:t>
  </x:si>
  <x:si>
    <x:t xml:space="preserve">是否开模</x:t>
  </x:si>
  <x:si>
    <x:t xml:space="preserve">模具腔数</x:t>
  </x:si>
  <x:si>
    <x:t xml:space="preserve">零件表面积 / mm^2</x:t>
  </x:si>
  <x:si>
    <x:t xml:space="preserve">原材料价格</x:t>
  </x:si>
  <x:si>
    <x:t xml:space="preserve">工序价格</x:t>
  </x:si>
  <x:si>
    <x:t xml:space="preserve">包装运输价格</x:t>
  </x:si>
  <x:si>
    <x:t xml:space="preserve">毛利率 / %</x:t>
  </x:si>
  <x:si>
    <x:t xml:space="preserve">产品单价</x:t>
  </x:si>
  <x:si>
    <x:t xml:space="preserve">子零件编号</x:t>
  </x:si>
  <x:si>
    <x:t xml:space="preserve">原材类型</x:t>
  </x:si>
  <x:si>
    <x:t xml:space="preserve">原材子类型</x:t>
  </x:si>
  <x:si>
    <x:t xml:space="preserve">牌号/属性/厂商</x:t>
  </x:si>
  <x:si>
    <x:t xml:space="preserve">计量单位</x:t>
  </x:si>
  <x:si>
    <x:t xml:space="preserve">单价 / RMB</x:t>
  </x:si>
  <x:si>
    <x:t xml:space="preserve">数量</x:t>
  </x:si>
  <x:si>
    <x:t xml:space="preserve">是否可回收 / Y/N</x:t>
  </x:si>
  <x:si>
    <x:t xml:space="preserve">材料利用率 / %</x:t>
  </x:si>
  <x:si>
    <x:t xml:space="preserve">回收折价率 / %</x:t>
  </x:si>
  <x:si>
    <x:t xml:space="preserve">子零件总成本 / RMB</x:t>
  </x:si>
  <x:si>
    <x:t xml:space="preserve">线束</x:t>
  </x:si>
  <x:si>
    <x:t xml:space="preserve">FHLRY-B/0.35mm2</x:t>
  </x:si>
  <x:si>
    <x:t xml:space="preserve">m</x:t>
  </x:si>
  <x:si>
    <x:t xml:space="preserve">N</x:t>
  </x:si>
  <x:si>
    <x:t xml:space="preserve">工序编号</x:t>
  </x:si>
  <x:si>
    <x:t xml:space="preserve">工序名称</x:t>
  </x:si>
  <x:si>
    <x:t xml:space="preserve">设备节拍 /  s</x:t>
  </x:si>
  <x:si>
    <x:t xml:space="preserve">每小时产能 / pcs</x:t>
  </x:si>
  <x:si>
    <x:t xml:space="preserve">设备使用年限 / years</x:t>
  </x:si>
  <x:si>
    <x:t xml:space="preserve">日运行时间 / h</x:t>
  </x:si>
  <x:si>
    <x:t xml:space="preserve">年运行天数 / days</x:t>
  </x:si>
  <x:si>
    <x:t xml:space="preserve">设备总价 / RMB</x:t>
  </x:si>
  <x:si>
    <x:t xml:space="preserve">设备折旧摊销 / RMB</x:t>
  </x:si>
  <x:si>
    <x:t xml:space="preserve">电费单价 / RMB/kWh</x:t>
  </x:si>
  <x:si>
    <x:t xml:space="preserve">电耗功率 / kW</x:t>
  </x:si>
  <x:si>
    <x:t xml:space="preserve">电费摊销 / RMB/pcs</x:t>
  </x:si>
  <x:si>
    <x:t xml:space="preserve">燃气单价 RMB/h</x:t>
  </x:si>
  <x:si>
    <x:t xml:space="preserve">燃气能耗 / m³/h</x:t>
  </x:si>
  <x:si>
    <x:t xml:space="preserve">燃气摊销 / RMB/h</x:t>
  </x:si>
  <x:si>
    <x:t xml:space="preserve">能耗摊销 / RMB/h</x:t>
  </x:si>
  <x:si>
    <x:t xml:space="preserve">润滑油 / RMB/h</x:t>
  </x:si>
  <x:si>
    <x:t xml:space="preserve">切削油 RMB/h</x:t>
  </x:si>
  <x:si>
    <x:t xml:space="preserve">水 RMB/h</x:t>
  </x:si>
  <x:si>
    <x:t xml:space="preserve">消耗性刀具 / RMB/h</x:t>
  </x:si>
  <x:si>
    <x:t xml:space="preserve">低值易耗品 / RMB/h</x:t>
  </x:si>
  <x:si>
    <x:t xml:space="preserve">其他损耗 / RMB/h</x:t>
  </x:si>
  <x:si>
    <x:t xml:space="preserve">工序工人数量</x:t>
  </x:si>
  <x:si>
    <x:t xml:space="preserve">工人月薪 RMB</x:t>
  </x:si>
  <x:si>
    <x:t xml:space="preserve">工作时长 / h</x:t>
  </x:si>
  <x:si>
    <x:t xml:space="preserve">每月工作天数</x:t>
  </x:si>
  <x:si>
    <x:t xml:space="preserve">人工摊销 RMB</x:t>
  </x:si>
  <x:si>
    <x:t xml:space="preserve">良品率 / % </x:t>
  </x:si>
  <x:si>
    <x:t xml:space="preserve">工序单价 / RMB</x:t>
  </x:si>
  <x:si>
    <x:t xml:space="preserve">OP10</x:t>
  </x:si>
  <x:si>
    <x:t xml:space="preserve">打印标签</x:t>
  </x:si>
  <x:si>
    <x:t xml:space="preserve">OP20</x:t>
  </x:si>
  <x:si>
    <x:t xml:space="preserve">全自动压着</x:t>
  </x:si>
  <x:si>
    <x:t xml:space="preserve">OP30</x:t>
  </x:si>
  <x:si>
    <x:t xml:space="preserve">OP40</x:t>
  </x:si>
  <x:si>
    <x:t xml:space="preserve">OP50</x:t>
  </x:si>
  <x:si>
    <x:t xml:space="preserve">OP60</x:t>
  </x:si>
  <x:si>
    <x:t xml:space="preserve">OP70</x:t>
  </x:si>
  <x:si>
    <x:t xml:space="preserve">OP80</x:t>
  </x:si>
  <x:si>
    <x:t xml:space="preserve">包装成本</x:t>
  </x:si>
  <x:si>
    <x:t xml:space="preserve">包材编号</x:t>
  </x:si>
  <x:si>
    <x:t xml:space="preserve">包材种类</x:t>
  </x:si>
  <x:si>
    <x:t xml:space="preserve">包材价格 / RMB</x:t>
  </x:si>
  <x:si>
    <x:t xml:space="preserve">是否循环使用 / Y/N</x:t>
  </x:si>
  <x:si>
    <x:t xml:space="preserve">循环使用次数</x:t>
  </x:si>
  <x:si>
    <x:t xml:space="preserve">包装摊销</x:t>
  </x:si>
  <x:si>
    <x:t xml:space="preserve">单包数量 / pcs</x:t>
  </x:si>
  <x:si>
    <x:t xml:space="preserve">每箱零件数</x:t>
  </x:si>
  <x:si>
    <x:t xml:space="preserve">塑料袋</x:t>
  </x:si>
  <x:si>
    <x:t xml:space="preserve">吸塑托盘</x:t>
  </x:si>
  <x:si>
    <x:t xml:space="preserve">缓冲泡棉</x:t>
  </x:si>
  <x:si>
    <x:t xml:space="preserve">纸箱</x:t>
  </x:si>
  <x:si>
    <x:t xml:space="preserve">运输成本</x:t>
  </x:si>
  <x:si>
    <x:t xml:space="preserve">单程运输费用</x:t>
  </x:si>
  <x:si>
    <x:t xml:space="preserve">单趟运输数量</x:t>
  </x:si>
  <x:si>
    <x:t xml:space="preserve">运输摊销费用</x:t>
  </x:si>
  <x:si>
    <x:t xml:space="preserve">说明</x:t>
  </x:si>
  <x:si>
    <x:t xml:space="preserve">铜</x:t>
  </x:si>
  <x:si>
    <x:t xml:space="preserve">紫铜</x:t>
  </x:si>
  <x:si>
    <x:t xml:space="preserve">/</x:t>
  </x:si>
  <x:si>
    <x:t xml:space="preserve">kg</x:t>
  </x:si>
  <x:si>
    <x:t xml:space="preserve">Y</x:t>
  </x:si>
  <x:si>
    <x:t xml:space="preserve">黄铜</x:t>
  </x:si>
  <x:si>
    <x:t xml:space="preserve">压延铜箔</x:t>
  </x:si>
  <x:si>
    <x:t xml:space="preserve">35um/1oz</x:t>
  </x:si>
  <x:si>
    <x:t xml:space="preserve">m2</x:t>
  </x:si>
  <x:si>
    <x:t xml:space="preserve">铝</x:t>
  </x:si>
  <x:si>
    <x:t xml:space="preserve">一系铝</x:t>
  </x:si>
  <x:si>
    <x:t xml:space="preserve">三系铝</x:t>
  </x:si>
  <x:si>
    <x:t xml:space="preserve">六系铝</x:t>
  </x:si>
  <x:si>
    <x:t xml:space="preserve">七系铝</x:t>
  </x:si>
  <x:si>
    <x:t xml:space="preserve">八系铝</x:t>
  </x:si>
  <x:si>
    <x:t xml:space="preserve">压铸铝</x:t>
  </x:si>
  <x:si>
    <x:t xml:space="preserve">不锈钢</x:t>
  </x:si>
  <x:si>
    <x:t xml:space="preserve">碳钢</x:t>
  </x:si>
  <x:si>
    <x:t xml:space="preserve">SPCC冷轧板</x:t>
  </x:si>
  <x:si>
    <x:t xml:space="preserve">常规深冲级</x:t>
  </x:si>
  <x:si>
    <x:t xml:space="preserve">国内卷料批量估算；厚度/表面状态影响价格</x:t>
  </x:si>
  <x:si>
    <x:t xml:space="preserve">DC01冷轧板</x:t>
  </x:si>
  <x:si>
    <x:t xml:space="preserve">深冲级</x:t>
  </x:si>
  <x:si>
    <x:t xml:space="preserve">国内卷料批量估算</x:t>
  </x:si>
  <x:si>
    <x:t xml:space="preserve">Q235B</x:t>
  </x:si>
  <x:si>
    <x:t xml:space="preserve">热轧板</x:t>
  </x:si>
  <x:si>
    <x:t xml:space="preserve">Q345B</x:t>
  </x:si>
  <x:si>
    <x:t xml:space="preserve">高强结构钢</x:t>
  </x:si>
  <x:si>
    <x:t xml:space="preserve">弹簧钢</x:t>
  </x:si>
  <x:si>
    <x:t xml:space="preserve">65Mn</x:t>
  </x:si>
  <x:si>
    <x:t xml:space="preserve">退火带材</x:t>
  </x:si>
  <x:si>
    <x:t xml:space="preserve">厚度/热处理状态影响价格</x:t>
  </x:si>
  <x:si>
    <x:t xml:space="preserve">SWP-B</x:t>
  </x:si>
  <x:si>
    <x:t xml:space="preserve">弹簧钢丝</x:t>
  </x:si>
  <x:si>
    <x:t xml:space="preserve">线径影响价格</x:t>
  </x:si>
  <x:si>
    <x:t xml:space="preserve">银</x:t>
  </x:si>
  <x:si>
    <x:t xml:space="preserve">纯银99.99</x:t>
  </x:si>
  <x:si>
    <x:t xml:space="preserve">镍</x:t>
  </x:si>
  <x:si>
    <x:t xml:space="preserve">电解镍</x:t>
  </x:si>
  <x:si>
    <x:t xml:space="preserve">FPC用镍片</x:t>
  </x:si>
  <x:si>
    <x:t xml:space="preserve">pcs</x:t>
  </x:si>
  <x:si>
    <x:t xml:space="preserve">低压单芯非屏蔽线</x:t>
  </x:si>
  <x:si>
    <x:t xml:space="preserve">0.35mm2</x:t>
  </x:si>
  <x:si>
    <x:t xml:space="preserve">FHLRY-B</x:t>
  </x:si>
  <x:si>
    <x:t xml:space="preserve">镀锡铜+聚乙烯</x:t>
  </x:si>
  <x:si>
    <x:t xml:space="preserve">0.5mm2</x:t>
  </x:si>
  <x:si>
    <x:t xml:space="preserve">1mm2</x:t>
  </x:si>
  <x:si>
    <x:t xml:space="preserve">1.5mm2</x:t>
  </x:si>
  <x:si>
    <x:t xml:space="preserve">2.5mm2</x:t>
  </x:si>
  <x:si>
    <x:t xml:space="preserve">高压屏蔽铜线</x:t>
  </x:si>
  <x:si>
    <x:t xml:space="preserve">硅胶绝缘层</x:t>
  </x:si>
  <x:si>
    <x:t xml:space="preserve">基于2026铜价102元/kg</x:t>
  </x:si>
  <x:si>
    <x:t xml:space="preserve">4mm2</x:t>
  </x:si>
  <x:si>
    <x:t xml:space="preserve">6mm2</x:t>
  </x:si>
  <x:si>
    <x:t xml:space="preserve">10mm2</x:t>
  </x:si>
  <x:si>
    <x:t xml:space="preserve">16mm2</x:t>
  </x:si>
  <x:si>
    <x:t xml:space="preserve">25mm2</x:t>
  </x:si>
  <x:si>
    <x:t xml:space="preserve">35mm2</x:t>
  </x:si>
  <x:si>
    <x:t xml:space="preserve">50mm2</x:t>
  </x:si>
  <x:si>
    <x:t xml:space="preserve">70mm2</x:t>
  </x:si>
  <x:si>
    <x:t xml:space="preserve">95mm2</x:t>
  </x:si>
  <x:si>
    <x:t xml:space="preserve">120mm2</x:t>
  </x:si>
  <x:si>
    <x:t xml:space="preserve">高压屏蔽铝线</x:t>
  </x:si>
  <x:si>
    <x:t xml:space="preserve">基于2026铝价24/kg</x:t>
  </x:si>
  <x:si>
    <x:t xml:space="preserve">低压端子</x:t>
  </x:si>
  <x:si>
    <x:t xml:space="preserve">公端</x:t>
  </x:si>
  <x:si>
    <x:t xml:space="preserve">铜镀锡</x:t>
  </x:si>
  <x:si>
    <x:t xml:space="preserve">母端</x:t>
  </x:si>
  <x:si>
    <x:t xml:space="preserve">快换连接器端子</x:t>
  </x:si>
  <x:si>
    <x:t xml:space="preserve">2mm</x:t>
  </x:si>
  <x:si>
    <x:t xml:space="preserve">可进行多次插拔</x:t>
  </x:si>
  <x:si>
    <x:t xml:space="preserve">3mm</x:t>
  </x:si>
  <x:si>
    <x:t xml:space="preserve">扎带</x:t>
  </x:si>
  <x:si>
    <x:t xml:space="preserve">2.5mm</x:t>
  </x:si>
  <x:si>
    <x:t xml:space="preserve">海尔曼</x:t>
  </x:si>
  <x:si>
    <x:t xml:space="preserve">PA66，黑色，百件以上批量中位估算</x:t>
  </x:si>
  <x:si>
    <x:t xml:space="preserve">3.6mm</x:t>
  </x:si>
  <x:si>
    <x:t xml:space="preserve">4.8mm</x:t>
  </x:si>
  <x:si>
    <x:t xml:space="preserve">7.5mm</x:t>
  </x:si>
  <x:si>
    <x:t xml:space="preserve">标签</x:t>
  </x:si>
  <x:si>
    <x:t xml:space="preserve">纸质标签</x:t>
  </x:si>
  <x:si>
    <x:t xml:space="preserve">亚银标签</x:t>
  </x:si>
  <x:si>
    <x:t xml:space="preserve">胶带</x:t>
  </x:si>
  <x:si>
    <x:t xml:space="preserve">布基胶带</x:t>
  </x:si>
  <x:si>
    <x:t xml:space="preserve">德莎</x:t>
  </x:si>
  <x:si>
    <x:t xml:space="preserve">耐磨胶带</x:t>
  </x:si>
  <x:si>
    <x:t xml:space="preserve">云母胶带</x:t>
  </x:si>
  <x:si>
    <x:t xml:space="preserve">铁氟龙胶带</x:t>
  </x:si>
  <x:si>
    <x:t xml:space="preserve">绝缘胶带</x:t>
  </x:si>
  <x:si>
    <x:t xml:space="preserve">泡棉</x:t>
  </x:si>
  <x:si>
    <x:t xml:space="preserve">三聚氰胺泡棉</x:t>
  </x:si>
  <x:si>
    <x:t xml:space="preserve">按20×20mm条材折算；泡棉密度/截面变化会显著影响价格</x:t>
  </x:si>
  <x:si>
    <x:t xml:space="preserve">EPDM闭孔泡棉</x:t>
  </x:si>
  <x:si>
    <x:t xml:space="preserve">20×20mm，耐候密封</x:t>
  </x:si>
  <x:si>
    <x:t xml:space="preserve">2026-08国内批量概算；条材统一按20×20mm折算，密度、硬度、背胶、阻燃和模切损耗影响大，需RFQ；https://www.armacell.com/en-US/gasket-trends-and-superior-foam-innovation</x:t>
  </x:si>
  <x:si>
    <x:t xml:space="preserve">CR氯丁橡胶泡棉</x:t>
  </x:si>
  <x:si>
    <x:t xml:space="preserve">20×20mm，耐油阻燃</x:t>
  </x:si>
  <x:si>
    <x:t xml:space="preserve">NBR/PVC闭孔泡棉</x:t>
  </x:si>
  <x:si>
    <x:t xml:space="preserve">20×20mm，耐油隔热</x:t>
  </x:si>
  <x:si>
    <x:t xml:space="preserve">EVA闭孔泡棉</x:t>
  </x:si>
  <x:si>
    <x:t xml:space="preserve">20×20mm，缓冲密封</x:t>
  </x:si>
  <x:si>
    <x:t xml:space="preserve">IXPE交联聚乙烯泡棉</x:t>
  </x:si>
  <x:si>
    <x:t xml:space="preserve">20×20mm，低吸水</x:t>
  </x:si>
  <x:si>
    <x:t xml:space="preserve">PU开孔吸音泡棉</x:t>
  </x:si>
  <x:si>
    <x:t xml:space="preserve">20×20mm，NVH吸音</x:t>
  </x:si>
  <x:si>
    <x:t xml:space="preserve">阻燃PU泡棉</x:t>
  </x:si>
  <x:si>
    <x:t xml:space="preserve">20×20mm，UL94 HF-1级</x:t>
  </x:si>
  <x:si>
    <x:t xml:space="preserve">硅橡胶泡棉</x:t>
  </x:si>
  <x:si>
    <x:t xml:space="preserve">20×20mm，耐高温密封</x:t>
  </x:si>
  <x:si>
    <x:t xml:space="preserve">2026-08批量概算；条材按20×20mm折算，品牌、厚度、硬度和阻燃等级影响大，需RFQ；https://www.rogerscorp.com/elastomeric-material-solutions/poron-industrial-polyurethanes</x:t>
  </x:si>
  <x:si>
    <x:t xml:space="preserve">微孔PU泡棉</x:t>
  </x:si>
  <x:si>
    <x:t xml:space="preserve">20×20mm，国产PORON类</x:t>
  </x:si>
  <x:si>
    <x:t xml:space="preserve">PORON聚氨酯泡棉</x:t>
  </x:si>
  <x:si>
    <x:t xml:space="preserve">4701系列，20×20mm</x:t>
  </x:si>
  <x:si>
    <x:t xml:space="preserve">BISCO硅胶泡棉</x:t>
  </x:si>
  <x:si>
    <x:t xml:space="preserve">20×20mm，高性能级</x:t>
  </x:si>
  <x:si>
    <x:t xml:space="preserve">国产丙烯酸泡棉双面胶</x:t>
  </x:si>
  <x:si>
    <x:t xml:space="preserve">20mm×1.0mm</x:t>
  </x:si>
  <x:si>
    <x:t xml:space="preserve">2026-08批量概算；按20mm宽、约1.0mm厚卷材折算，牌号和基材表面能影响大，需RFQ；https://www.3m.com/3M/en_US/p/c/tapes/foam/vhb/i/automotive/</x:t>
  </x:si>
  <x:si>
    <x:t xml:space="preserve">3M VHB丙烯酸泡棉胶带</x:t>
  </x:si>
  <x:si>
    <x:t xml:space="preserve">EPP发泡聚丙烯</x:t>
  </x:si>
  <x:si>
    <x:t xml:space="preserve">成型原料/常规密度</x:t>
  </x:si>
  <x:si>
    <x:t xml:space="preserve">2026-08国内发泡原料/成型料批量概算；密度、阻燃、颜色和成型倍率影响大，需RFQ</x:t>
  </x:si>
  <x:si>
    <x:t xml:space="preserve">EPS发泡聚苯乙烯</x:t>
  </x:si>
  <x:si>
    <x:t xml:space="preserve">EPE珍珠棉</x:t>
  </x:si>
  <x:si>
    <x:t xml:space="preserve">卷材/片材原料</x:t>
  </x:si>
  <x:si>
    <x:t xml:space="preserve">PET吸音毡</x:t>
  </x:si>
  <x:si>
    <x:t xml:space="preserve">10mm，汽车NVH级</x:t>
  </x:si>
  <x:si>
    <x:t xml:space="preserve">绝缘材料</x:t>
  </x:si>
  <x:si>
    <x:t xml:space="preserve">喷粉</x:t>
  </x:si>
  <x:si>
    <x:t xml:space="preserve">mL</x:t>
  </x:si>
  <x:si>
    <x:t xml:space="preserve">浸塑</x:t>
  </x:si>
  <x:si>
    <x:t xml:space="preserve">热缩管</x:t>
  </x:si>
  <x:si>
    <x:t xml:space="preserve">按φ10mm、常规壁厚热缩管估算</x:t>
  </x:si>
  <x:si>
    <x:t xml:space="preserve">浸粉</x:t>
  </x:si>
  <x:si>
    <x:t xml:space="preserve">塑料</x:t>
  </x:si>
  <x:si>
    <x:t xml:space="preserve">PA6</x:t>
  </x:si>
  <x:si>
    <x:t xml:space="preserve">BASF</x:t>
  </x:si>
  <x:si>
    <x:t xml:space="preserve">g</x:t>
  </x:si>
  <x:si>
    <x:t xml:space="preserve">2026-08大宗基准叠加车规/品牌/阻燃溢价估算；https://www.100ppi.com/chanye/gcsl.html；具体牌号需RFQ</x:t>
  </x:si>
  <x:si>
    <x:t xml:space="preserve">PA66</x:t>
  </x:si>
  <x:si>
    <x:t xml:space="preserve">PA6+GF20</x:t>
  </x:si>
  <x:si>
    <x:t xml:space="preserve">PA6+GF30</x:t>
  </x:si>
  <x:si>
    <x:t xml:space="preserve">PA66+GF20</x:t>
  </x:si>
  <x:si>
    <x:t xml:space="preserve">PA66+GF30</x:t>
  </x:si>
  <x:si>
    <x:t xml:space="preserve">ABS</x:t>
  </x:si>
  <x:si>
    <x:t xml:space="preserve">PC</x:t>
  </x:si>
  <x:si>
    <x:t xml:space="preserve">PBT</x:t>
  </x:si>
  <x:si>
    <x:t xml:space="preserve">PC+ABS</x:t>
  </x:si>
  <x:si>
    <x:t xml:space="preserve">PBT+ABS</x:t>
  </x:si>
  <x:si>
    <x:t xml:space="preserve">PBT+GF20</x:t>
  </x:si>
  <x:si>
    <x:t xml:space="preserve">PET</x:t>
  </x:si>
  <x:si>
    <x:t xml:space="preserve">PI</x:t>
  </x:si>
  <x:si>
    <x:t xml:space="preserve">PTFE</x:t>
  </x:si>
  <x:si>
    <x:t xml:space="preserve">PP</x:t>
  </x:si>
  <x:si>
    <x:t xml:space="preserve">PE</x:t>
  </x:si>
  <x:si>
    <x:t xml:space="preserve">PVC</x:t>
  </x:si>
  <x:si>
    <x:t xml:space="preserve">TPU</x:t>
  </x:si>
  <x:si>
    <x:t xml:space="preserve">POM</x:t>
  </x:si>
  <x:si>
    <x:t xml:space="preserve">PMMA</x:t>
  </x:si>
  <x:si>
    <x:t xml:space="preserve">PBT+GF30</x:t>
  </x:si>
  <x:si>
    <x:t xml:space="preserve">车规阻燃级</x:t>
  </x:si>
  <x:si>
    <x:t xml:space="preserve">车规/阻燃牌号估算；需RFQ</x:t>
  </x:si>
  <x:si>
    <x:t xml:space="preserve">PPS+GF40</x:t>
  </x:si>
  <x:si>
    <x:t xml:space="preserve">车规高温级</x:t>
  </x:si>
  <x:si>
    <x:t xml:space="preserve">LCP+GF30</x:t>
  </x:si>
  <x:si>
    <x:t xml:space="preserve">连接器级</x:t>
  </x:si>
  <x:si>
    <x:t xml:space="preserve">连接器级估算；需RFQ</x:t>
  </x:si>
  <x:si>
    <x:t xml:space="preserve">PEEK</x:t>
  </x:si>
  <x:si>
    <x:t xml:space="preserve">未增强工业级</x:t>
  </x:si>
  <x:si>
    <x:t xml:space="preserve">高性能特种料，牌号差异大</x:t>
  </x:si>
  <x:si>
    <x:t xml:space="preserve">胶水</x:t>
  </x:si>
  <x:si>
    <x:t xml:space="preserve">丙烯酸胶水</x:t>
  </x:si>
  <x:si>
    <x:t xml:space="preserve">UV胶水</x:t>
  </x:si>
  <x:si>
    <x:t xml:space="preserve">环氧树脂</x:t>
  </x:si>
  <x:si>
    <x:t xml:space="preserve">发泡胶</x:t>
  </x:si>
  <x:si>
    <x:t xml:space="preserve">灌封胶</x:t>
  </x:si>
  <x:si>
    <x:t xml:space="preserve">氰基丙烯酸瞬干胶</x:t>
  </x:si>
  <x:si>
    <x:t xml:space="preserve">中粘度，塑料/橡胶</x:t>
  </x:si>
  <x:si>
    <x:t xml:space="preserve">2026-08国内汽车/工业级批量概算；品牌、固化条件、耐温、阻燃和车规验证影响大，需RFQ；https://www.3m.com/3M/en_US/p/c/adhesives/structural/i/automotive/</x:t>
  </x:si>
  <x:si>
    <x:t xml:space="preserve">厌氧螺纹锁固胶</x:t>
  </x:si>
  <x:si>
    <x:t xml:space="preserve">中强度，可拆卸</x:t>
  </x:si>
  <x:si>
    <x:t xml:space="preserve">2026-08国内汽车/工业级批量概算；强度、耐温、基材和包装规格影响大，需RFQ；https://next.henkel-adhesives.com/pa/en/products/industrial-adhesives/central-pdp.html/loctite-243/BP000000316211/variation/1330255.html</x:t>
  </x:si>
  <x:si>
    <x:t xml:space="preserve">高强度，永久锁固</x:t>
  </x:si>
  <x:si>
    <x:t xml:space="preserve">厌氧管螺纹密封胶</x:t>
  </x:si>
  <x:si>
    <x:t xml:space="preserve">耐油/耐冷却液</x:t>
  </x:si>
  <x:si>
    <x:t xml:space="preserve">厌氧平面密封胶</x:t>
  </x:si>
  <x:si>
    <x:t xml:space="preserve">金属法兰</x:t>
  </x:si>
  <x:si>
    <x:t xml:space="preserve">RTV硅酮密封胶</x:t>
  </x:si>
  <x:si>
    <x:t xml:space="preserve">中性，耐温型</x:t>
  </x:si>
  <x:si>
    <x:t xml:space="preserve">2026-08国内批量概算；按300mL级包装折算，底涂、固化速度和车规验证影响大，需RFQ；https://eshop.wurth.cn/Product-categories/Bond-Seal-structural-adhesive/88883005041106.cyid/8888.cgid/en/US/CNY/</x:t>
  </x:si>
  <x:si>
    <x:t xml:space="preserve">单组份聚氨酯玻璃胶</x:t>
  </x:si>
  <x:si>
    <x:t xml:space="preserve">风挡玻璃级</x:t>
  </x:si>
  <x:si>
    <x:t xml:space="preserve">MS改性硅烷密封胶</x:t>
  </x:si>
  <x:si>
    <x:t xml:space="preserve">电池包/车身密封</x:t>
  </x:si>
  <x:si>
    <x:t xml:space="preserve">双组份环氧结构胶</x:t>
  </x:si>
  <x:si>
    <x:t xml:space="preserve">金属/复合材料</x:t>
  </x:si>
  <x:si>
    <x:t xml:space="preserve">双组份增韧环氧结构胶</x:t>
  </x:si>
  <x:si>
    <x:t xml:space="preserve">高冲击/耐疲劳</x:t>
  </x:si>
  <x:si>
    <x:t xml:space="preserve">双组份丙烯酸MMA胶</x:t>
  </x:si>
  <x:si>
    <x:t xml:space="preserve">金属/塑料快固</x:t>
  </x:si>
  <x:si>
    <x:t xml:space="preserve">双组份聚氨酯结构胶</x:t>
  </x:si>
  <x:si>
    <x:t xml:space="preserve">电池包/复合材料</x:t>
  </x:si>
  <x:si>
    <x:t xml:space="preserve">导热结构胶</x:t>
  </x:si>
  <x:si>
    <x:t xml:space="preserve">1.5W/m·K级</x:t>
  </x:si>
  <x:si>
    <x:t xml:space="preserve">2026-08国内电子/动力电池级批量概算；导热率、粘度、阻燃、硬度和长期可靠性影响大，需RFQ；https://www.industryglue.com/buy-polyurethane-structural-adhesive.html</x:t>
  </x:si>
  <x:si>
    <x:t xml:space="preserve">导热灌封胶</x:t>
  </x:si>
  <x:si>
    <x:t xml:space="preserve">1.0W/m·K级</x:t>
  </x:si>
  <x:si>
    <x:t xml:space="preserve">阻燃灌封胶</x:t>
  </x:si>
  <x:si>
    <x:t xml:space="preserve">UL94 V-0级</x:t>
  </x:si>
  <x:si>
    <x:t xml:space="preserve">EVA热熔胶</x:t>
  </x:si>
  <x:si>
    <x:t xml:space="preserve">通用装配</x:t>
  </x:si>
  <x:si>
    <x:t xml:space="preserve">PA/PES热熔胶</x:t>
  </x:si>
  <x:si>
    <x:t xml:space="preserve">耐高温/线束级</x:t>
  </x:si>
  <x:si>
    <x:t xml:space="preserve">导电银胶</x:t>
  </x:si>
  <x:si>
    <x:t xml:space="preserve">电子连接/修补</x:t>
  </x:si>
  <x:si>
    <x:t xml:space="preserve">橡胶</x:t>
  </x:si>
  <x:si>
    <x:t xml:space="preserve">EPDM</x:t>
  </x:si>
  <x:si>
    <x:t xml:space="preserve">车用密封级</x:t>
  </x:si>
  <x:si>
    <x:t xml:space="preserve">硬度/配方/阻燃等级影响价格</x:t>
  </x:si>
  <x:si>
    <x:t xml:space="preserve">硅橡胶VMQ</x:t>
  </x:si>
  <x:si>
    <x:t xml:space="preserve">硬度/耐温/阻燃等级影响价格</x:t>
  </x:si>
  <x:si>
    <x:t xml:space="preserve">NBR</x:t>
  </x:si>
  <x:si>
    <x:t xml:space="preserve">耐油密封级</x:t>
  </x:si>
  <x:si>
    <x:t xml:space="preserve">硬度/配方影响价格</x:t>
  </x:si>
  <x:si>
    <x:t xml:space="preserve">FKM</x:t>
  </x:si>
  <x:si>
    <x:t xml:space="preserve">氟橡胶密封级</x:t>
  </x:si>
  <x:si>
    <x:t xml:space="preserve">含氟量/耐温等级影响价格</x:t>
  </x:si>
  <x:si>
    <x:t xml:space="preserve">紧固件</x:t>
  </x:si>
  <x:si>
    <x:t xml:space="preserve">M10</x:t>
  </x:si>
  <x:si>
    <x:t xml:space="preserve">按M10×30估算</x:t>
  </x:si>
  <x:si>
    <x:t xml:space="preserve">M8</x:t>
  </x:si>
  <x:si>
    <x:t xml:space="preserve">按M8×25估算</x:t>
  </x:si>
  <x:si>
    <x:t xml:space="preserve">M6</x:t>
  </x:si>
  <x:si>
    <x:t xml:space="preserve">按M6×20估算</x:t>
  </x:si>
  <x:si>
    <x:t xml:space="preserve">M5</x:t>
  </x:si>
  <x:si>
    <x:t xml:space="preserve">按M5×16估算</x:t>
  </x:si>
  <x:si>
    <x:t xml:space="preserve">M4</x:t>
  </x:si>
  <x:si>
    <x:t xml:space="preserve">按M4×12估算</x:t>
  </x:si>
  <x:si>
    <x:t xml:space="preserve">继电器</x:t>
  </x:si>
  <x:si>
    <x:t xml:space="preserve">400A</x:t>
  </x:si>
  <x:si>
    <x:t xml:space="preserve">450V</x:t>
  </x:si>
  <x:si>
    <x:t xml:space="preserve">车规密封直流接触器批量估算；额定分断能力/辅助触点/线圈电压影响大，需RFQ；https://www.eaton.com.cn/cn/zh-cn/catalog/electrical-circuit-protection/bussmann-evc-series-high-voltage-dc-contactor.html；按本表绿色内部采购价（含余量）作为锚点，并结合规格梯度修正</x:t>
  </x:si>
  <x:si>
    <x:t xml:space="preserve">300A</x:t>
  </x:si>
  <x:si>
    <x:t xml:space="preserve">250A</x:t>
  </x:si>
  <x:si>
    <x:t xml:space="preserve">车规密封直流接触器批量估算；额定分断能力/辅助触点/线圈电压影响大，需RFQ；https://www.eaton.com.cn/cn/zh-cn/catalog/electrical-circuit-protection/bussmann-evc-series-high-voltage-dc-contactor.html；内部采购修正价（含余量），作为同系列价格锚点</x:t>
  </x:si>
  <x:si>
    <x:t xml:space="preserve">20A</x:t>
  </x:si>
  <x:si>
    <x:t xml:space="preserve">1000V</x:t>
  </x:si>
  <x:si>
    <x:t xml:space="preserve">Pyro-fuse</x:t>
  </x:si>
  <x:si>
    <x:t xml:space="preserve">500V</x:t>
  </x:si>
  <x:si>
    <x:t xml:space="preserve">含点火器的车规Pyro-fuse估算；短路分断能力与认证等级影响大，需RFQ；按本表绿色内部采购价（含余量）作为锚点，并结合规格梯度修正</x:t>
  </x:si>
  <x:si>
    <x:t xml:space="preserve">350A</x:t>
  </x:si>
  <x:si>
    <x:t xml:space="preserve">含点火器的车规Pyro-fuse估算；短路分断能力与认证等级影响大，需RFQ；内部采购修正价（含余量），作为同系列价格锚点</x:t>
  </x:si>
  <x:si>
    <x:t xml:space="preserve">热熔fuse</x:t>
  </x:si>
  <x:si>
    <x:t xml:space="preserve">2026-08国产车规批量概算；按DC500V、约20kA级热熔保险丝估算，I²t/分断能力/尺寸/认证影响大，需RFQ；https://www.aitefuse.com/ev-fuse/ates-series-dc-500v-ev-fuse；按本表绿色内部采购价（含余量）作为锚点，并结合规格梯度修正</x:t>
  </x:si>
  <x:si>
    <x:t xml:space="preserve">30A</x:t>
  </x:si>
  <x:si>
    <x:t xml:space="preserve">40A</x:t>
  </x:si>
  <x:si>
    <x:t xml:space="preserve">50A</x:t>
  </x:si>
  <x:si>
    <x:t xml:space="preserve">60A</x:t>
  </x:si>
  <x:si>
    <x:t xml:space="preserve">2026-08国产车规批量概算；按DC500V、约20kA级热熔保险丝估算，I²t/分断能力/尺寸/认证影响大，需RFQ；https://www.aitefuse.com/ev-fuse/ates-series-dc-500v-ev-fuse；内部采购修正价（含余量），作为同系列价格锚点</x:t>
  </x:si>
  <x:si>
    <x:t xml:space="preserve">70A</x:t>
  </x:si>
  <x:si>
    <x:t xml:space="preserve">80A</x:t>
  </x:si>
  <x:si>
    <x:t xml:space="preserve">90A</x:t>
  </x:si>
  <x:si>
    <x:t xml:space="preserve">100A</x:t>
  </x:si>
  <x:si>
    <x:t xml:space="preserve">200A</x:t>
  </x:si>
  <x:si>
    <x:t xml:space="preserve">2026-08国产车规批量概算；按DC1000V、20–50kA级热熔保险丝估算，灭弧结构及认证要求高，需RFQ；https://www.dissmannfuse.com/charging-pile-fuse/dc-fuse-guide-in-ev-charger.html；内部采购修正价（含余量），作为同系列价格锚点</x:t>
  </x:si>
  <x:si>
    <x:t xml:space="preserve">2026-08国产车规批量概算；按DC1000V、20–50kA级热熔保险丝估算，灭弧结构及认证要求高，需RFQ；https://www.dissmannfuse.com/charging-pile-fuse/dc-fuse-guide-in-ev-charger.html；按本表绿色内部采购价（含余量）作为锚点，并结合规格梯度修正</x:t>
  </x:si>
  <x:si>
    <x:t xml:space="preserve">预充电阻</x:t>
  </x:si>
  <x:si>
    <x:t xml:space="preserve">30W</x:t>
  </x:si>
  <x:si>
    <x:t xml:space="preserve">内部采购修正价（含余量），作为同系列价格锚点</x:t>
  </x:si>
  <x:si>
    <x:t xml:space="preserve">50W</x:t>
  </x:si>
  <x:si>
    <x:t xml:space="preserve">按本表绿色内部采购价（含余量）作为锚点，并结合规格梯度修正</x:t>
  </x:si>
  <x:si>
    <x:t xml:space="preserve">100W</x:t>
  </x:si>
  <x:si>
    <x:t xml:space="preserve">高压连接器</x:t>
  </x:si>
  <x:si>
    <x:t xml:space="preserve">高压2pin</x:t>
  </x:si>
  <x:si>
    <x:t xml:space="preserve">4mm2/6mm2</x:t>
  </x:si>
  <x:si>
    <x:t xml:space="preserve">只算插头一侧，插座侧价格略高于插头；按本表绿色内部采购价（含余量）作为锚点，并结合规格梯度修正</x:t>
  </x:si>
  <x:si>
    <x:t xml:space="preserve">只算插头一侧，插座侧价格略高于插头；内部采购修正价（含余量），作为同系列价格锚点</x:t>
  </x:si>
  <x:si>
    <x:t xml:space="preserve">90mm2</x:t>
  </x:si>
  <x:si>
    <x:t xml:space="preserve">高压4pin</x:t>
  </x:si>
  <x:si>
    <x:t xml:space="preserve">低压连接器</x:t>
  </x:si>
  <x:si>
    <x:t xml:space="preserve">低压穿板</x:t>
  </x:si>
  <x:si>
    <x:t xml:space="preserve">10pin</x:t>
  </x:si>
  <x:si>
    <x:t xml:space="preserve">16pin</x:t>
  </x:si>
  <x:si>
    <x:t xml:space="preserve">18pin</x:t>
  </x:si>
  <x:si>
    <x:t xml:space="preserve">22pin</x:t>
  </x:si>
  <x:si>
    <x:t xml:space="preserve">28pin</x:t>
  </x:si>
  <x:si>
    <x:t xml:space="preserve">32pin</x:t>
  </x:si>
  <x:si>
    <x:t xml:space="preserve">40pin</x:t>
  </x:si>
  <x:si>
    <x:t xml:space="preserve">48pin</x:t>
  </x:si>
  <x:si>
    <x:t xml:space="preserve">低压板载</x:t>
  </x:si>
  <x:si>
    <x:t xml:space="preserve">低压对线</x:t>
  </x:si>
  <x:si>
    <x:t xml:space="preserve">国产车规连接器壳体+端子估算；防水、CPA/TPA、镀层及供应商影响大，需RFQ</x:t>
  </x:si>
  <x:si>
    <x:t xml:space="preserve">PCB</x:t>
  </x:si>
  <x:si>
    <x:t xml:space="preserve">单层板</x:t>
  </x:si>
  <x:si>
    <x:t xml:space="preserve">按100×100mm、FR-4、1.6mm、常规铜厚、1000pcs批量估算；板厚/铜厚/阻抗/表面处理需RFQ</x:t>
  </x:si>
  <x:si>
    <x:t xml:space="preserve">双层板</x:t>
  </x:si>
  <x:si>
    <x:t xml:space="preserve">四层板</x:t>
  </x:si>
  <x:si>
    <x:t xml:space="preserve">六层板</x:t>
  </x:si>
  <x:si>
    <x:t xml:space="preserve">NTC用FR4</x:t>
  </x:si>
  <x:si>
    <x:t xml:space="preserve">NTC小板，FR-4，按小面积批量估算</x:t>
  </x:si>
  <x:si>
    <x:t xml:space="preserve">热界面材料</x:t>
  </x:si>
  <x:si>
    <x:t xml:space="preserve">导热硅胶垫1.0mm</x:t>
  </x:si>
  <x:si>
    <x:t xml:space="preserve">3W/m·K</x:t>
  </x:si>
  <x:si>
    <x:t xml:space="preserve">导热系数/厚度/阻燃等级影响价格</x:t>
  </x:si>
  <x:si>
    <x:t xml:space="preserve">导热硅脂</x:t>
  </x:si>
  <x:si>
    <x:t xml:space="preserve">2W/m·K</x:t>
  </x:si>
  <x:si>
    <x:t xml:space="preserve">导热系数和包装规格影响价格</x:t>
  </x:si>
  <x:si>
    <x:t xml:space="preserve">密封件</x:t>
  </x:si>
  <x:si>
    <x:t xml:space="preserve">O形圈</x:t>
  </x:si>
  <x:si>
    <x:t xml:space="preserve">NBR 70A，常用小规格</x:t>
  </x:si>
  <x:si>
    <x:t xml:space="preserve">尺寸与材料等级影响价格</x:t>
  </x:si>
  <x:si>
    <x:t xml:space="preserve">FKM 75A，常用小规格</x:t>
  </x:si>
  <x:si>
    <x:t xml:space="preserve">自动裁线/剥皮</x:t>
  </x:si>
  <x:si>
    <x:t xml:space="preserve">自动端子压接</x:t>
  </x:si>
  <x:si>
    <x:t xml:space="preserve">小型连续冲压（≤80T）</x:t>
  </x:si>
  <x:si>
    <x:t xml:space="preserve">中型连续冲压（160T）</x:t>
  </x:si>
  <x:si>
    <x:t xml:space="preserve">大型连续冲压（400T）</x:t>
  </x:si>
  <x:si>
    <x:t xml:space="preserve">精密冲压/高速冲床</x:t>
  </x:si>
  <x:si>
    <x:t xml:space="preserve">单工序冲压</x:t>
  </x:si>
  <x:si>
    <x:t xml:space="preserve">精冲</x:t>
  </x:si>
  <x:si>
    <x:t xml:space="preserve">激光落料</x:t>
  </x:si>
  <x:si>
    <x:t xml:space="preserve">铝合金压铸280T</x:t>
  </x:si>
  <x:si>
    <x:t xml:space="preserve">铝合金压铸500T</x:t>
  </x:si>
  <x:si>
    <x:t xml:space="preserve">铝合金压铸800T</x:t>
  </x:si>
  <x:si>
    <x:t xml:space="preserve">铝合金压铸1600T</x:t>
  </x:si>
  <x:si>
    <x:t xml:space="preserve">一体压铸3200T</x:t>
  </x:si>
  <x:si>
    <x:t xml:space="preserve">压铸件切边</x:t>
  </x:si>
  <x:si>
    <x:t xml:space="preserve">压铸件抛丸</x:t>
  </x:si>
  <x:si>
    <x:t xml:space="preserve">金属化学蚀刻</x:t>
  </x:si>
  <x:si>
    <x:t xml:space="preserve">丝网印刷</x:t>
  </x:si>
  <x:si>
    <x:t xml:space="preserve">移印</x:t>
  </x:si>
  <x:si>
    <x:t xml:space="preserve">激光打标</x:t>
  </x:si>
  <x:si>
    <x:t xml:space="preserve">喷码</x:t>
  </x:si>
  <x:si>
    <x:t xml:space="preserve">铭牌数字印刷</x:t>
  </x:si>
  <x:si>
    <x:t xml:space="preserve">外观全检</x:t>
  </x:si>
  <x:si>
    <x:t xml:space="preserve">尺寸抽检</x:t>
  </x:si>
  <x:si>
    <x:t xml:space="preserve">导通/耐压测试</x:t>
  </x:si>
  <x:si>
    <x:t xml:space="preserve">气密测试</x:t>
  </x:si>
  <x:si>
    <x:t xml:space="preserve">EOL功能测试</x:t>
  </x:si>
  <x:si>
    <x:t xml:space="preserve">X-ray抽检</x:t>
  </x:si>
  <x:si>
    <x:t xml:space="preserve">人工装袋</x:t>
  </x:si>
  <x:si>
    <x:t xml:space="preserve">贴标签</x:t>
  </x:si>
  <x:si>
    <x:t xml:space="preserve">装吸塑/EPE托盘</x:t>
  </x:si>
  <x:si>
    <x:t xml:space="preserve">装箱</x:t>
  </x:si>
  <x:si>
    <x:t xml:space="preserve">自动封箱</x:t>
  </x:si>
  <x:si>
    <x:t xml:space="preserve">打包带捆扎</x:t>
  </x:si>
  <x:si>
    <x:t xml:space="preserve">码垛</x:t>
  </x:si>
  <x:si>
    <x:t xml:space="preserve">注塑80T</x:t>
  </x:si>
  <x:si>
    <x:t xml:space="preserve">注塑160T</x:t>
  </x:si>
  <x:si>
    <x:t xml:space="preserve">注塑280T</x:t>
  </x:si>
  <x:si>
    <x:t xml:space="preserve">注塑500T</x:t>
  </x:si>
  <x:si>
    <x:t xml:space="preserve">注塑800T</x:t>
  </x:si>
  <x:si>
    <x:t xml:space="preserve">双色注塑</x:t>
  </x:si>
  <x:si>
    <x:t xml:space="preserve">嵌件注塑</x:t>
  </x:si>
  <x:si>
    <x:t xml:space="preserve">塑料原料干燥</x:t>
  </x:si>
  <x:si>
    <x:t xml:space="preserve">三轴CNC加工</x:t>
  </x:si>
  <x:si>
    <x:t xml:space="preserve">四轴CNC加工</x:t>
  </x:si>
  <x:si>
    <x:t xml:space="preserve">五轴CNC加工</x:t>
  </x:si>
  <x:si>
    <x:t xml:space="preserve">数控车削</x:t>
  </x:si>
  <x:si>
    <x:t xml:space="preserve">钻孔/攻丝</x:t>
  </x:si>
  <x:si>
    <x:t xml:space="preserve">机械去毛刺</x:t>
  </x:si>
  <x:si>
    <x:t xml:space="preserve">工业清洗</x:t>
  </x:si>
  <x:si>
    <x:t xml:space="preserve">人工装配</x:t>
  </x:si>
  <x:si>
    <x:t xml:space="preserve">电批锁螺钉</x:t>
  </x:si>
  <x:si>
    <x:t xml:space="preserve">连接器/卡扣插装</x:t>
  </x:si>
  <x:si>
    <x:t xml:space="preserve">胶带缠绕</x:t>
  </x:si>
  <x:si>
    <x:t xml:space="preserve">密封圈安装</x:t>
  </x:si>
  <x:si>
    <x:t xml:space="preserve">点胶</x:t>
  </x:si>
  <x:si>
    <x:t xml:space="preserve">灌封</x:t>
  </x:si>
  <x:si>
    <x:t xml:space="preserve">热缩管加热</x:t>
  </x:si>
  <x:si>
    <x:t xml:space="preserve">人工修边/去毛刺</x:t>
  </x:si>
  <x:si>
    <x:t xml:space="preserve">零件清洁</x:t>
  </x:si>
  <x:si>
    <x:t xml:space="preserve">电阻点焊</x:t>
  </x:si>
  <x:si>
    <x:t xml:space="preserve">凸焊</x:t>
  </x:si>
  <x:si>
    <x:t xml:space="preserve">激光焊接</x:t>
  </x:si>
  <x:si>
    <x:t xml:space="preserve">MIG焊</x:t>
  </x:si>
  <x:si>
    <x:t xml:space="preserve">TIG焊</x:t>
  </x:si>
  <x:si>
    <x:t xml:space="preserve">超声波金属焊</x:t>
  </x:si>
  <x:si>
    <x:t xml:space="preserve">塑料超声波焊</x:t>
  </x:si>
  <x:si>
    <x:t xml:space="preserve">锡膏印刷</x:t>
  </x:si>
  <x:si>
    <x:t xml:space="preserve">SPI检测</x:t>
  </x:si>
  <x:si>
    <x:t xml:space="preserve">高速贴片</x:t>
  </x:si>
  <x:si>
    <x:t xml:space="preserve">泛用贴片</x:t>
  </x:si>
  <x:si>
    <x:t xml:space="preserve">回流焊</x:t>
  </x:si>
  <x:si>
    <x:t xml:space="preserve">AOI检测</x:t>
  </x:si>
  <x:si>
    <x:t xml:space="preserve">选择性焊接</x:t>
  </x:si>
  <x:si>
    <x:t xml:space="preserve">ICT测试</x:t>
  </x:si>
  <x:si>
    <x:t xml:space="preserve">镀锌</x:t>
  </x:si>
  <x:si>
    <x:t xml:space="preserve">镀镍</x:t>
  </x:si>
  <x:si>
    <x:t xml:space="preserve">镀锡</x:t>
  </x:si>
  <x:si>
    <x:t xml:space="preserve">镀银</x:t>
  </x:si>
  <x:si>
    <x:t xml:space="preserve">化学镀镍</x:t>
  </x:si>
  <x:si>
    <x:t xml:space="preserve">铝阳极氧化</x:t>
  </x:si>
  <x:si>
    <x:t xml:space="preserve">铝挤压600T</x:t>
  </x:si>
  <x:si>
    <x:t xml:space="preserve">铝挤压1200T</x:t>
  </x:si>
  <x:si>
    <x:t xml:space="preserve">铝挤压2000T</x:t>
  </x:si>
  <x:si>
    <x:t xml:space="preserve">时效炉</x:t>
  </x:si>
  <x:si>
    <x:t xml:space="preserve">矫直</x:t>
  </x:si>
  <x:si>
    <x:t xml:space="preserve">定尺锯切</x:t>
  </x:si>
  <x:si>
    <x:t xml:space="preserve">PET吸塑托盘成型</x:t>
  </x:si>
  <x:si>
    <x:t xml:space="preserve">PP吸塑托盘成型</x:t>
  </x:si>
  <x:si>
    <x:t xml:space="preserve">防静电吸塑成型</x:t>
  </x:si>
  <x:si>
    <x:t xml:space="preserve">吸塑冲切</x:t>
  </x:si>
  <x:si>
    <x:t xml:space="preserve">抽芯铆钉铆接</x:t>
  </x:si>
  <x:si>
    <x:t xml:space="preserve">自冲铆接SPR</x:t>
  </x:si>
  <x:si>
    <x:t xml:space="preserve">径向铆接</x:t>
  </x:si>
  <x:si>
    <x:t xml:space="preserve">摆辗铆接</x:t>
  </x:si>
  <x:si>
    <x:t xml:space="preserve">热板热铆</x:t>
  </x:si>
  <x:si>
    <x:t xml:space="preserve">热风热铆</x:t>
  </x:si>
  <x:si>
    <x:t xml:space="preserve">超声波热铆</x:t>
  </x:si>
  <x:si>
    <x:t xml:space="preserve">振动研磨去毛刺</x:t>
  </x:si>
  <x:si>
    <x:t xml:space="preserve">滚筒去毛刺</x:t>
  </x:si>
  <x:si>
    <x:t xml:space="preserve">喷砂</x:t>
  </x:si>
  <x:si>
    <x:t xml:space="preserve">抛丸</x:t>
  </x:si>
  <x:si>
    <x:t xml:space="preserve">激光清洗</x:t>
  </x:si>
  <x:si>
    <x:t xml:space="preserve">超声波清洗</x:t>
  </x:si>
  <x:si>
    <x:t xml:space="preserve">预浸料人工铺层</x:t>
  </x:si>
  <x:si>
    <x:t xml:space="preserve">真空袋封装</x:t>
  </x:si>
  <x:si>
    <x:t xml:space="preserve">热压罐固化</x:t>
  </x:si>
  <x:si>
    <x:t xml:space="preserve">RTM成型</x:t>
  </x:si>
  <x:si>
    <x:t xml:space="preserve">复材CNC修边</x:t>
  </x:si>
  <x:si>
    <x:t xml:space="preserve">底漆喷涂</x:t>
  </x:si>
  <x:si>
    <x:t xml:space="preserve">色漆喷涂</x:t>
  </x:si>
  <x:si>
    <x:t xml:space="preserve">清漆喷涂</x:t>
  </x:si>
  <x:si>
    <x:t xml:space="preserve">四涂两烤整线</x:t>
  </x:si>
  <x:si>
    <x:t xml:space="preserve">UV固化喷涂</x:t>
  </x:si>
  <x:si>
    <x:t xml:space="preserve">冷镦</x:t>
  </x:si>
  <x:si>
    <x:t xml:space="preserve">温锻</x:t>
  </x:si>
  <x:si>
    <x:t xml:space="preserve">热锻</x:t>
  </x:si>
  <x:si>
    <x:t xml:space="preserve">锻件切边</x:t>
  </x:si>
  <x:si>
    <x:t xml:space="preserve">电泳前处理</x:t>
  </x:si>
  <x:si>
    <x:t xml:space="preserve">阴极电泳+烘烤</x:t>
  </x:si>
  <x:si>
    <x:t xml:space="preserve">电泳整线综合</x:t>
  </x:si>
  <x:si>
    <x:t xml:space="preserve">手工喷粉</x:t>
  </x:si>
  <x:si>
    <x:t xml:space="preserve">自动喷粉</x:t>
  </x:si>
  <x:si>
    <x:t xml:space="preserve">前处理+喷粉+固化整线</x:t>
  </x:si>
  <x:si>
    <x:t xml:space="preserve">PVC浸塑</x:t>
  </x:si>
  <x:si>
    <x:t xml:space="preserve">尼龙流化床浸粉</x:t>
  </x:si>
  <x:si>
    <x:t xml:space="preserve">预热+浸塑+固化整线</x:t>
  </x:si>
  <x:si>
    <x:t xml:space="preserve">电线绝缘挤塑</x:t>
  </x:si>
  <x:si>
    <x:t xml:space="preserve">塑料型材挤出</x:t>
  </x:si>
  <x:si>
    <x:t xml:space="preserve">塑料管材挤出</x:t>
  </x:si>
  <x:si>
    <x:t xml:space="preserve">双层共挤</x:t>
  </x:si>
  <x:si>
    <x:t xml:space="preserve">铜排三维折弯</x:t>
  </x:si>
  <x:si>
    <x:t xml:space="preserve">铝管三维弯管</x:t>
  </x:si>
  <x:si>
    <x:t xml:space="preserve">钢管数控弯管</x:t>
  </x:si>
  <x:si>
    <x:t xml:space="preserve">线材三维成形</x:t>
  </x:si>
  <x:si>
    <x:t xml:space="preserve">铝合金重力金属型铸造</x:t>
  </x:si>
  <x:si>
    <x:t xml:space="preserve">铝合金低压铸造</x:t>
  </x:si>
  <x:si>
    <x:t xml:space="preserve">砂型铸造</x:t>
  </x:si>
  <x:si>
    <x:t xml:space="preserve">熔模精密铸造</x:t>
  </x:si>
  <x:si>
    <x:t xml:space="preserve">铸件落砂/清理</x:t>
  </x:si>
  <x:si>
    <x:t xml:space="preserve">金属粉末压制成形</x:t>
  </x:si>
  <x:si>
    <x:t xml:space="preserve">粉末冶金烧结</x:t>
  </x:si>
  <x:si>
    <x:t xml:space="preserve">MIM注射成形</x:t>
  </x:si>
  <x:si>
    <x:t xml:space="preserve">MIM脱脂+烧结</x:t>
  </x:si>
  <x:si>
    <x:t xml:space="preserve">橡胶模压成型</x:t>
  </x:si>
  <x:si>
    <x:t xml:space="preserve">橡胶注射成型</x:t>
  </x:si>
  <x:si>
    <x:t xml:space="preserve">橡胶传递模塑</x:t>
  </x:si>
  <x:si>
    <x:t xml:space="preserve">连续挤出+硫化</x:t>
  </x:si>
  <x:si>
    <x:t xml:space="preserve">橡胶修边/冷冻去边</x:t>
  </x:si>
  <x:si>
    <x:t xml:space="preserve">挤出吹塑（小型容器）</x:t>
  </x:si>
  <x:si>
    <x:t xml:space="preserve">多层挤出吹塑（油箱/风道）</x:t>
  </x:si>
  <x:si>
    <x:t xml:space="preserve">注射吹塑</x:t>
  </x:si>
  <x:si>
    <x:t xml:space="preserve">滚塑成型</x:t>
  </x:si>
  <x:si>
    <x:t xml:space="preserve">SMC模压成型</x:t>
  </x:si>
  <x:si>
    <x:t xml:space="preserve">BMC模压成型</x:t>
  </x:si>
  <x:si>
    <x:t xml:space="preserve">GMT/LFT热压成型</x:t>
  </x:si>
  <x:si>
    <x:t xml:space="preserve">热固性塑料压制成型</x:t>
  </x:si>
  <x:si>
    <x:t xml:space="preserve">PU软泡灌注发泡</x:t>
  </x:si>
  <x:si>
    <x:t xml:space="preserve">PU硬泡结构发泡</x:t>
  </x:si>
  <x:si>
    <x:t xml:space="preserve">EPP蒸汽模压发泡</x:t>
  </x:si>
  <x:si>
    <x:t xml:space="preserve">EPS模压发泡</x:t>
  </x:si>
  <x:si>
    <x:t xml:space="preserve">光纤激光切割</x:t>
  </x:si>
  <x:si>
    <x:t xml:space="preserve">数控转塔冲</x:t>
  </x:si>
  <x:si>
    <x:t xml:space="preserve">数控折弯</x:t>
  </x:si>
  <x:si>
    <x:t xml:space="preserve">辊压成型</x:t>
  </x:si>
  <x:si>
    <x:t xml:space="preserve">翻边/卷边</x:t>
  </x:si>
  <x:si>
    <x:t xml:space="preserve">钣金校平</x:t>
  </x:si>
  <x:si>
    <x:t xml:space="preserve">调质（淬火+回火）</x:t>
  </x:si>
  <x:si>
    <x:t xml:space="preserve">渗碳淬火</x:t>
  </x:si>
  <x:si>
    <x:t xml:space="preserve">气体氮化</x:t>
  </x:si>
  <x:si>
    <x:t xml:space="preserve">铝合金固溶+时效</x:t>
  </x:si>
  <x:si>
    <x:t xml:space="preserve">退火/去应力</x:t>
  </x:si>
  <x:si>
    <x:t xml:space="preserve">感应淬火</x:t>
  </x:si>
  <x:si>
    <x:t xml:space="preserve">结构胶自动涂胶</x:t>
  </x:si>
  <x:si>
    <x:t xml:space="preserve">双组份胶混合点胶</x:t>
  </x:si>
  <x:si>
    <x:t xml:space="preserve">热熔胶涂布</x:t>
  </x:si>
  <x:si>
    <x:t xml:space="preserve">伺服压装</x:t>
  </x:si>
  <x:si>
    <x:t xml:space="preserve">滚边/包边连接</x:t>
  </x:si>
  <x:si>
    <x:t xml:space="preserve">无铆连接/TOX压铆</x:t>
  </x:si>
  <x:si>
    <x:t xml:space="preserve">热板焊接</x:t>
  </x:si>
  <x:si>
    <x:t xml:space="preserve">振动摩擦焊</x:t>
  </x:si>
  <x:si>
    <x:t xml:space="preserve">旋转摩擦焊</x:t>
  </x:si>
  <x:si>
    <x:t xml:space="preserve">红外塑料焊接</x:t>
  </x:si>
  <x:si>
    <x:t xml:space="preserve">平刀模切（胶带/泡棉）</x:t>
  </x:si>
  <x:si>
    <x:t xml:space="preserve">圆刀模切（卷对卷）</x:t>
  </x:si>
  <x:si>
    <x:t xml:space="preserve">多层材料复合覆膜</x:t>
  </x:si>
  <x:si>
    <x:t xml:space="preserve">排废/分条</x:t>
  </x:si>
  <x:si>
    <x:t xml:space="preserve">感应钎焊</x:t>
  </x:si>
  <x:si>
    <x:t xml:space="preserve">炉中钎焊</x:t>
  </x:si>
  <x:si>
    <x:t xml:space="preserve">火焰钎焊</x:t>
  </x:si>
  <x:si>
    <x:t xml:space="preserve">机器人锡焊</x:t>
  </x:si>
  <x:si>
    <x:t xml:space="preserve">面料/皮革数控裁切</x:t>
  </x:si>
  <x:si>
    <x:t xml:space="preserve">自动缝纫</x:t>
  </x:si>
  <x:si>
    <x:t xml:space="preserve">真空覆皮/覆膜</x:t>
  </x:si>
  <x:si>
    <x:t xml:space="preserve">搪塑表皮成型</x:t>
  </x:si>
  <x:si>
    <x:t xml:space="preserve">IMD/IML膜内装饰</x:t>
  </x:si>
  <x:si>
    <x:t xml:space="preserve">安全气囊激光弱化</x:t>
  </x:si>
  <x:si>
    <x:t xml:space="preserve">玻璃切割/磨边</x:t>
  </x:si>
  <x:si>
    <x:t xml:space="preserve">玻璃丝网印刷</x:t>
  </x:si>
  <x:si>
    <x:t xml:space="preserve">玻璃热弯/钢化</x:t>
  </x:si>
  <x:si>
    <x:t xml:space="preserve">夹层玻璃合片</x:t>
  </x:si>
  <x:si>
    <x:t xml:space="preserve">高压釜层压</x:t>
  </x:si>
  <x:si>
    <x:t xml:space="preserve">FDM打印</x:t>
  </x:si>
  <x:si>
    <x:t xml:space="preserve">SLA光固化打印</x:t>
  </x:si>
  <x:si>
    <x:t xml:space="preserve">SLS尼龙打印</x:t>
  </x:si>
  <x:si>
    <x:t xml:space="preserve">MJF尼龙打印</x:t>
  </x:si>
  <x:si>
    <x:t xml:space="preserve">SLM金属打印</x:t>
  </x:si>
  <x:si>
    <x:t xml:space="preserve">防水栓穿装</x:t>
  </x:si>
  <x:si>
    <x:t xml:space="preserve">超声波线束拼接</x:t>
  </x:si>
  <x:si>
    <x:t xml:space="preserve">端子入壳/二次锁止</x:t>
  </x:si>
  <x:si>
    <x:t xml:space="preserve">线束板装配/布线</x:t>
  </x:si>
  <x:si>
    <x:t xml:space="preserve">护套/波纹管装配</x:t>
  </x:si>
  <x:si>
    <x:t xml:space="preserve">线束100%导通/耐压测试</x:t>
  </x:si>
  <x:si>
    <x:t xml:space="preserve">扁线成型/去漆</x:t>
  </x:si>
  <x:si>
    <x:t xml:space="preserve">Hairpin插线</x:t>
  </x:si>
  <x:si>
    <x:t xml:space="preserve">扭头整形</x:t>
  </x:si>
  <x:si>
    <x:t xml:space="preserve">Hairpin激光焊</x:t>
  </x:si>
  <x:si>
    <x:t xml:space="preserve">定子浸漆/滴漆</x:t>
  </x:si>
  <x:si>
    <x:t xml:space="preserve">磁钢插装/粘接</x:t>
  </x:si>
  <x:si>
    <x:t xml:space="preserve">转子动平衡</x:t>
  </x:si>
  <x:si>
    <x:t xml:space="preserve">电芯OCV/ACIR分选</x:t>
  </x:si>
  <x:si>
    <x:t xml:space="preserve">电芯堆叠/模组压紧</x:t>
  </x:si>
  <x:si>
    <x:t xml:space="preserve">极柱/汇流排激光清洗</x:t>
  </x:si>
  <x:si>
    <x:t xml:space="preserve">汇流排激光焊接</x:t>
  </x:si>
  <x:si>
    <x:t xml:space="preserve">电池包涂胶/导热胶灌注</x:t>
  </x:si>
  <x:si>
    <x:t xml:space="preserve">PACK气密测试</x:t>
  </x:si>
  <x:si>
    <x:t xml:space="preserve">PACK EOL绝缘/耐压/功能测试</x:t>
  </x:si>
  <x:si>
    <x:t xml:space="preserve">PE平口袋 100×150×0.05mm</x:t>
  </x:si>
  <x:si>
    <x:t xml:space="preserve">PE平口袋 200×300×0.05mm</x:t>
  </x:si>
  <x:si>
    <x:t xml:space="preserve">PE平口袋 300×400×0.06mm</x:t>
  </x:si>
  <x:si>
    <x:t xml:space="preserve">PE平口袋 400×600×0.08mm</x:t>
  </x:si>
  <x:si>
    <x:t xml:space="preserve">防锈VCI袋 200×300×0.08mm</x:t>
  </x:si>
  <x:si>
    <x:t xml:space="preserve">防锈VCI袋 400×600×0.10mm</x:t>
  </x:si>
  <x:si>
    <x:t xml:space="preserve">防静电屏蔽袋 150×200mm</x:t>
  </x:si>
  <x:si>
    <x:t xml:space="preserve">防静电屏蔽袋 300×400mm</x:t>
  </x:si>
  <x:si>
    <x:t xml:space="preserve">气泡袋 200×300mm</x:t>
  </x:si>
  <x:si>
    <x:t xml:space="preserve">EPE珍珠棉袋 200×300×1mm</x:t>
  </x:si>
  <x:si>
    <x:t xml:space="preserve">PET吸塑托盘 300×200×20mm</x:t>
  </x:si>
  <x:si>
    <x:t xml:space="preserve">PET吸塑托盘 400×300×30mm</x:t>
  </x:si>
  <x:si>
    <x:t xml:space="preserve">防静电PET托盘 400×300×30mm</x:t>
  </x:si>
  <x:si>
    <x:t xml:space="preserve">三层瓦楞纸箱 300×200×150mm</x:t>
  </x:si>
  <x:si>
    <x:t xml:space="preserve">三层瓦楞纸箱 400×300×250mm</x:t>
  </x:si>
  <x:si>
    <x:t xml:space="preserve">五层瓦楞纸箱 600×400×400mm</x:t>
  </x:si>
  <x:si>
    <x:t xml:space="preserve">五层加强纸箱 800×600×500mm</x:t>
  </x:si>
  <x:si>
    <x:t xml:space="preserve">瓦楞纸隔板 400×300mm</x:t>
  </x:si>
  <x:si>
    <x:t xml:space="preserve">蜂窝纸板 600×400×20mm</x:t>
  </x:si>
  <x:si>
    <x:t xml:space="preserve">纸护角 50×50×5mm×1m</x:t>
  </x:si>
  <x:si>
    <x:t xml:space="preserve">塑料周转箱 400×300×148mm</x:t>
  </x:si>
  <x:si>
    <x:t xml:space="preserve">塑料周转箱 600×400×280mm</x:t>
  </x:si>
  <x:si>
    <x:t xml:space="preserve">防静电周转箱 600×400×280mm</x:t>
  </x:si>
  <x:si>
    <x:t xml:space="preserve">木托盘 800×600mm</x:t>
  </x:si>
  <x:si>
    <x:t xml:space="preserve">木托盘 1100×1100mm</x:t>
  </x:si>
  <x:si>
    <x:t xml:space="preserve">塑料托盘 1200×1000mm</x:t>
  </x:si>
  <x:si>
    <x:t xml:space="preserve">缠绕膜 500mm×2.5kg/卷</x:t>
  </x:si>
  <x:si>
    <x:t xml:space="preserve">BOPP封箱胶带 48mm×100m/卷</x:t>
  </x:si>
  <x:si>
    <x:t xml:space="preserve">PET打包带 12mm×0.6mm×2000m/卷</x:t>
  </x:si>
  <x:si>
    <x:t xml:space="preserve">干燥剂 10g/包</x:t>
  </x:si>
  <x:si>
    <x:t xml:space="preserve">湿度指示卡 30/40/50%RH</x:t>
  </x:si>
  <x:si>
    <x:t xml:space="preserve">VCI防锈纸 600×400mm/张</x:t>
  </x:si>
</x:sst>
</file>

<file path=xl/styles.xml><?xml version="1.0" encoding="utf-8"?>
<x:styleSheet xmlns:x="http://schemas.openxmlformats.org/spreadsheetml/2006/main">
  <x:numFmts count="9">
    <x:numFmt numFmtId="176" formatCode="0_);\(0\)"/>
    <x:numFmt numFmtId="177" formatCode="0.00_);\(0.00\)"/>
    <x:numFmt numFmtId="178" formatCode="0.0%"/>
    <x:numFmt numFmtId="179" formatCode="0.0000_);\(0.0000\)"/>
    <x:numFmt numFmtId="180" formatCode="0.000"/>
    <x:numFmt numFmtId="181" formatCode="0.0"/>
    <x:numFmt numFmtId="182" formatCode="0.0000"/>
    <x:numFmt numFmtId="200" formatCode="0"/>
    <x:numFmt numFmtId="201" formatCode="0.00"/>
  </x:numFmts>
  <x:fonts count="13">
    <x:font>
      <x:sz val="11"/>
      <x:color theme="1"/>
      <x:name val="等线"/>
    </x:font>
    <x:font>
      <x:sz val="12"/>
      <x:color rgb="FF000000"/>
      <x:name val="等线"/>
    </x:font>
    <x:font>
      <x:sz val="12"/>
      <x:color theme="1"/>
      <x:name val="等线"/>
    </x:font>
    <x:font>
      <x:b/>
      <x:sz val="12"/>
      <x:color theme="1"/>
      <x:name val="等线"/>
    </x:font>
    <x:font>
      <x:b/>
      <x:sz val="12"/>
      <x:color rgb="FF1F1F1F"/>
      <x:name val="等线"/>
    </x:font>
    <x:font>
      <x:sz val="12"/>
      <x:color rgb="FF1F1F1F"/>
      <x:name val="等线"/>
    </x:font>
    <x:font>
      <x:sz val="11"/>
      <x:color rgb="FF1F1F1F"/>
      <x:name val="等线"/>
    </x:font>
    <x:font>
      <x:b/>
      <x:sz val="11"/>
      <x:color rgb="FF1F1F1F"/>
      <x:name val="等线"/>
    </x:font>
    <x:font>
      <x:sz val="11"/>
      <x:color rgb="FF1F1F1F"/>
      <x:name val="等线"/>
    </x:font>
    <x:font>
      <x:sz val="11"/>
      <x:color rgb="FF1F1F1F"/>
      <x:name val="等线"/>
    </x:font>
    <x:font>
      <x:sz val="9"/>
      <x:name val="宋体"/>
    </x:font>
    <x:font>
      <x:b/>
      <x:sz val="11"/>
      <x:color rgb="FFFFFFFF"/>
      <x:name val="等线"/>
    </x:font>
    <x:font>
      <x:sz val="11"/>
      <x:color rgb="FF6D5A1D"/>
      <x:name val="等线"/>
    </x:font>
  </x:fonts>
  <x:fills count="13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B050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E7E6E6"/>
      </x:patternFill>
    </x:fill>
    <x:fill>
      <x:patternFill patternType="solid">
        <x:fgColor rgb="FFFFFFFF"/>
      </x:patternFill>
    </x:fill>
    <x:fill>
      <x:patternFill patternType="solid">
        <x:fgColor rgb="FF00B050"/>
      </x:patternFill>
    </x:fill>
    <x:fill>
      <x:patternFill patternType="solid">
        <x:fgColor rgb="FF17324D"/>
      </x:patternFill>
    </x:fill>
    <x:fill>
      <x:patternFill patternType="solid">
        <x:fgColor rgb="FFFFF8DC"/>
      </x:patternFill>
    </x:fill>
    <x:fill>
      <x:patternFill patternType="solid">
        <x:fgColor rgb="FFD9EAF7"/>
      </x:patternFill>
    </x:fill>
  </x:fills>
  <x:borders count="5">
    <x:border/>
    <x:border>
      <x:bottom style="double">
        <x:color rgb="FF8AA4B8"/>
      </x:bottom>
    </x:border>
    <x:border>
      <x:bottom style="thin">
        <x:color rgb="FFE5EBF0"/>
      </x:bottom>
    </x:border>
    <x:border>
      <x:top style="thin">
        <x:color rgb="FFE5EBF0"/>
      </x:top>
      <x:bottom style="thin">
        <x:color rgb="FFE5EBF0"/>
      </x:bottom>
    </x:border>
    <x:border>
      <x:top style="thin">
        <x:color rgb="FFE5EBF0"/>
      </x:top>
    </x:border>
  </x:borders>
  <x:cellStyleXfs count="1">
    <x:xf numFmtId="0" fontId="0" fillId="0" borderId="0"/>
  </x:cellStyleXfs>
  <x:cellXfs count="103">
    <x:xf numFmtId="0" fontId="0" fillId="0" borderId="0" xfId="0"/>
    <x:xf numFmtId="0" fontId="1" fillId="0" borderId="0" xfId="0" applyFont="1" applyAlignment="1">
      <x:alignment horizontal="left" vertical="top"/>
    </x:xf>
    <x:xf numFmtId="0" fontId="1" fillId="0" borderId="0" xfId="0" applyFont="1" applyAlignment="1">
      <x:alignment horizontal="left" vertical="top" wrapText="1"/>
    </x:xf>
    <x:xf numFmtId="176" fontId="1" fillId="0" borderId="0" xfId="0" applyNumberFormat="1" applyFont="1" applyAlignment="1">
      <x:alignment horizontal="left" vertical="top"/>
    </x:xf>
    <x:xf numFmtId="177" fontId="1" fillId="0" borderId="0" xfId="0" applyNumberFormat="1" applyFont="1" applyAlignment="1">
      <x:alignment horizontal="left" vertical="top" wrapText="1"/>
    </x:xf>
    <x:xf numFmtId="177" fontId="1" fillId="0" borderId="0" xfId="0" applyNumberFormat="1" applyFont="1" applyAlignment="1">
      <x:alignment horizontal="left" vertical="top"/>
    </x:xf>
    <x:xf numFmtId="178" fontId="1" fillId="0" borderId="0" xfId="0" applyNumberFormat="1" applyFont="1" applyAlignment="1">
      <x:alignment horizontal="left" vertical="top"/>
    </x:xf>
    <x:xf numFmtId="0" fontId="2" fillId="0" borderId="0" xfId="0" applyFont="1" applyAlignment="1">
      <x:alignment horizontal="left" vertical="top"/>
    </x:xf>
    <x:xf numFmtId="0" fontId="2" fillId="0" borderId="0" xfId="0" applyFont="1" applyAlignment="1">
      <x:alignment horizontal="left" vertical="top" wrapText="1"/>
    </x:xf>
    <x:xf numFmtId="177" fontId="2" fillId="0" borderId="0" xfId="0" applyNumberFormat="1" applyFont="1" applyAlignment="1">
      <x:alignment horizontal="left" vertical="top"/>
    </x:xf>
    <x:xf numFmtId="0" fontId="3" fillId="0" borderId="0" xfId="0" applyFont="1" applyAlignment="1">
      <x:alignment horizontal="left" vertical="top"/>
    </x:xf>
    <x:xf numFmtId="179" fontId="1" fillId="0" borderId="0" xfId="0" applyNumberFormat="1" applyFont="1" applyAlignment="1">
      <x:alignment horizontal="left" vertical="top"/>
    </x:xf>
    <x:xf numFmtId="179" fontId="1" fillId="0" borderId="0" xfId="0" applyNumberFormat="1" applyFont="1" applyAlignment="1">
      <x:alignment horizontal="left" vertical="top" wrapText="1"/>
    </x:xf>
    <x:xf numFmtId="2" fontId="1" fillId="0" borderId="0" xfId="0" applyNumberFormat="1" applyFont="1" applyAlignment="1">
      <x:alignment horizontal="left" vertical="top"/>
    </x:xf>
    <x:xf numFmtId="0" fontId="2" fillId="2" borderId="0" xfId="0" applyFont="1" applyFill="1" applyAlignment="1">
      <x:alignment horizontal="left" vertical="top"/>
    </x:xf>
    <x:xf numFmtId="0" fontId="1" fillId="2" borderId="0" xfId="0" applyFont="1" applyFill="1" applyAlignment="1">
      <x:alignment horizontal="left" vertical="top" wrapText="1"/>
    </x:xf>
    <x:xf numFmtId="0" fontId="1" fillId="2" borderId="0" xfId="0" applyFont="1" applyFill="1" applyAlignment="1">
      <x:alignment horizontal="left" vertical="top"/>
    </x:xf>
    <x:xf numFmtId="2" fontId="3" fillId="3" borderId="0" xfId="0" applyNumberFormat="1" applyFont="1" applyFill="1" applyAlignment="1">
      <x:alignment horizontal="left" vertical="top"/>
    </x:xf>
    <x:xf numFmtId="177" fontId="1" fillId="3" borderId="0" xfId="0" applyNumberFormat="1" applyFont="1" applyFill="1" applyAlignment="1">
      <x:alignment horizontal="left" vertical="top"/>
    </x:xf>
    <x:xf numFmtId="0" fontId="2" fillId="3" borderId="0" xfId="0" applyFont="1" applyFill="1" applyAlignment="1">
      <x:alignment horizontal="left" vertical="top"/>
    </x:xf>
    <x:xf numFmtId="0" fontId="4" fillId="5" borderId="0" xfId="0" applyFont="1" applyFill="1" applyAlignment="1">
      <x:alignment horizontal="left" vertical="top"/>
    </x:xf>
    <x:xf numFmtId="0" fontId="5" fillId="0" borderId="0" xfId="0" applyFont="1" applyAlignment="1">
      <x:alignment horizontal="left" vertical="top"/>
    </x:xf>
    <x:xf numFmtId="0" fontId="6" fillId="0" borderId="0" xfId="0" applyFont="1"/>
    <x:xf numFmtId="0" fontId="6" fillId="0" borderId="0" xfId="0" applyFont="1" applyAlignment="1">
      <x:alignment horizontal="left"/>
    </x:xf>
    <x:xf numFmtId="0" fontId="6" fillId="4" borderId="0" xfId="0" applyFont="1" applyFill="1"/>
    <x:xf numFmtId="0" fontId="6" fillId="4" borderId="0" xfId="0" applyFont="1" applyFill="1" applyAlignment="1">
      <x:alignment wrapText="1"/>
    </x:xf>
    <x:xf numFmtId="180" fontId="6" fillId="4" borderId="0" xfId="0" applyNumberFormat="1" applyFont="1" applyFill="1"/>
    <x:xf numFmtId="0" fontId="4" fillId="5" borderId="0" xfId="0" applyFont="1" applyFill="1" applyAlignment="1">
      <x:alignment horizontal="left" vertical="top" wrapText="1"/>
    </x:xf>
    <x:xf numFmtId="0" fontId="6" fillId="0" borderId="0" xfId="0" applyFont="1" applyAlignment="1">
      <x:alignment wrapText="1"/>
    </x:xf>
    <x:xf numFmtId="180" fontId="5" fillId="0" borderId="0" xfId="0" applyNumberFormat="1" applyFont="1" applyAlignment="1">
      <x:alignment horizontal="left" vertical="top"/>
    </x:xf>
    <x:xf numFmtId="180" fontId="6" fillId="0" borderId="0" xfId="0" applyNumberFormat="1" applyFont="1"/>
    <x:xf numFmtId="178" fontId="5" fillId="0" borderId="0" xfId="0" applyNumberFormat="1" applyFont="1" applyAlignment="1">
      <x:alignment horizontal="left" vertical="top"/>
    </x:xf>
    <x:xf numFmtId="0" fontId="5" fillId="2" borderId="0" xfId="0" applyFont="1" applyFill="1" applyAlignment="1">
      <x:alignment horizontal="left" vertical="top"/>
    </x:xf>
    <x:xf numFmtId="181" fontId="5" fillId="0" borderId="0" xfId="0" applyNumberFormat="1" applyFont="1" applyAlignment="1">
      <x:alignment horizontal="left" vertical="top"/>
    </x:xf>
    <x:xf numFmtId="181" fontId="6" fillId="0" borderId="0" xfId="0" applyNumberFormat="1" applyFont="1"/>
    <x:xf numFmtId="3" fontId="5" fillId="0" borderId="0" xfId="0" applyNumberFormat="1" applyFont="1" applyAlignment="1">
      <x:alignment horizontal="left" vertical="top"/>
    </x:xf>
    <x:xf numFmtId="3" fontId="6" fillId="0" borderId="0" xfId="0" applyNumberFormat="1" applyFont="1"/>
    <x:xf numFmtId="182" fontId="5" fillId="0" borderId="0" xfId="0" applyNumberFormat="1" applyFont="1" applyAlignment="1">
      <x:alignment horizontal="left" vertical="top"/>
    </x:xf>
    <x:xf numFmtId="182" fontId="6" fillId="0" borderId="0" xfId="0" applyNumberFormat="1" applyFont="1"/>
    <x:xf numFmtId="1" fontId="5" fillId="0" borderId="0" xfId="0" applyNumberFormat="1" applyFont="1" applyAlignment="1">
      <x:alignment horizontal="left" vertical="top"/>
    </x:xf>
    <x:xf numFmtId="1" fontId="6" fillId="0" borderId="0" xfId="0" applyNumberFormat="1" applyFont="1"/>
    <x:xf numFmtId="178" fontId="6" fillId="0" borderId="0" xfId="0" applyNumberFormat="1" applyFont="1"/>
    <x:xf numFmtId="182" fontId="5" fillId="3" borderId="0" xfId="0" applyNumberFormat="1" applyFont="1" applyFill="1" applyAlignment="1">
      <x:alignment horizontal="left" vertical="top"/>
    </x:xf>
    <x:xf numFmtId="0" fontId="7" fillId="6" borderId="0" xfId="0" applyFont="1" applyFill="1"/>
    <x:xf numFmtId="181" fontId="7" fillId="6" borderId="0" xfId="0" applyNumberFormat="1" applyFont="1" applyFill="1"/>
    <x:xf numFmtId="3" fontId="7" fillId="6" borderId="0" xfId="0" applyNumberFormat="1" applyFont="1" applyFill="1"/>
    <x:xf numFmtId="182" fontId="7" fillId="6" borderId="0" xfId="0" applyNumberFormat="1" applyFont="1" applyFill="1"/>
    <x:xf numFmtId="1" fontId="7" fillId="6" borderId="0" xfId="0" applyNumberFormat="1" applyFont="1" applyFill="1"/>
    <x:xf numFmtId="178" fontId="7" fillId="6" borderId="0" xfId="0" applyNumberFormat="1" applyFont="1" applyFill="1"/>
    <x:xf numFmtId="0" fontId="7" fillId="7" borderId="0" xfId="0" applyFont="1" applyFill="1"/>
    <x:xf numFmtId="177" fontId="4" fillId="5" borderId="0" xfId="0" applyNumberFormat="1" applyFont="1" applyFill="1" applyAlignment="1">
      <x:alignment horizontal="left" vertical="center"/>
    </x:xf>
    <x:xf numFmtId="0" fontId="4" fillId="5" borderId="0" xfId="0" applyFont="1" applyFill="1" applyAlignment="1">
      <x:alignment horizontal="left" vertical="center"/>
    </x:xf>
    <x:xf numFmtId="0" fontId="4" fillId="5" borderId="0" xfId="0" applyFont="1" applyFill="1" applyAlignment="1">
      <x:alignment horizontal="left" vertical="center" wrapText="1"/>
    </x:xf>
    <x:xf numFmtId="177" fontId="5" fillId="0" borderId="0" xfId="0" applyNumberFormat="1" applyFont="1" applyAlignment="1">
      <x:alignment horizontal="left" vertical="center"/>
    </x:xf>
    <x:xf numFmtId="0" fontId="5" fillId="0" borderId="0" xfId="0" applyFont="1" applyAlignment="1">
      <x:alignment horizontal="left" vertical="center"/>
    </x:xf>
    <x:xf numFmtId="2" fontId="5" fillId="0" borderId="0" xfId="0" applyNumberFormat="1" applyFont="1" applyAlignment="1">
      <x:alignment horizontal="left" vertical="center" wrapText="1"/>
    </x:xf>
    <x:xf numFmtId="0" fontId="0" fillId="0" borderId="0" xfId="0" applyAlignment="1">
      <x:alignment horizontal="left" vertical="center"/>
    </x:xf>
    <x:xf numFmtId="0" fontId="6" fillId="0" borderId="0" xfId="0" applyFont="1" applyAlignment="1">
      <x:alignment horizontal="left" vertical="center"/>
    </x:xf>
    <x:xf numFmtId="2" fontId="6" fillId="0" borderId="0" xfId="0" applyNumberFormat="1" applyFont="1" applyAlignment="1">
      <x:alignment horizontal="left" vertical="center"/>
    </x:xf>
    <x:xf numFmtId="0" fontId="8" fillId="0" borderId="0" xfId="0" applyFont="1" applyAlignment="1">
      <x:alignment wrapText="1"/>
    </x:xf>
    <x:xf numFmtId="0" fontId="8" fillId="0" borderId="0" xfId="0" applyFont="1"/>
    <x:xf numFmtId="0" fontId="9" fillId="0" borderId="0" xfId="0" applyFont="1" applyAlignment="1">
      <x:alignment wrapText="1"/>
    </x:xf>
    <x:xf numFmtId="180" fontId="6" fillId="8" borderId="0" xfId="0" applyNumberFormat="1" applyFont="1" applyFill="1"/>
    <x:xf numFmtId="180" fontId="6" fillId="9" borderId="0" xfId="0" applyNumberFormat="1" applyFont="1" applyFill="1"/>
    <x:xf numFmtId="0" fontId="1" fillId="0" borderId="0" xfId="0" applyFont="1" applyFill="1" applyAlignment="1">
      <x:alignment horizontal="left" vertical="top"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" xfId="0" applyNumberFormat="1" applyFont="1" applyFill="1" applyBorder="1"/>
    <x:xf numFmtId="0" fontId="7" fillId="12" borderId="1" xfId="0" applyNumberFormat="1" applyFont="1" applyFill="1" applyBorder="1" applyAlignment="1">
      <x:alignment wrapText="1"/>
    </x:xf>
    <x:xf numFmtId="0" fontId="7" fillId="12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3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200" fontId="6" fillId="0" borderId="2" xfId="0" applyNumberFormat="1" applyFont="1" applyFill="1" applyBorder="1" applyAlignment="1">
      <x:alignment vertical="center"/>
    </x:xf>
    <x:xf numFmtId="200" fontId="6" fillId="0" borderId="3" xfId="0" applyNumberFormat="1" applyFont="1" applyFill="1" applyBorder="1" applyAlignment="1">
      <x:alignment vertical="center"/>
    </x:xf>
    <x:xf numFmtId="200" fontId="6" fillId="0" borderId="4" xfId="0" applyNumberFormat="1" applyFont="1" applyFill="1" applyBorder="1" applyAlignment="1">
      <x:alignment vertical="center"/>
    </x:xf>
    <x:xf numFmtId="201" fontId="6" fillId="0" borderId="2" xfId="0" applyNumberFormat="1" applyFont="1" applyFill="1" applyBorder="1" applyAlignment="1">
      <x:alignment vertical="center"/>
    </x:xf>
    <x:xf numFmtId="201" fontId="6" fillId="0" borderId="3" xfId="0" applyNumberFormat="1" applyFont="1" applyFill="1" applyBorder="1" applyAlignment="1">
      <x:alignment vertical="center"/>
    </x:xf>
    <x:xf numFmtId="201" fontId="6" fillId="0" borderId="4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 wrapText="1"/>
    </x:xf>
    <x:xf numFmtId="200" fontId="6" fillId="0" borderId="2" xfId="0" applyNumberFormat="1" applyFont="1" applyFill="1" applyBorder="1" applyAlignment="1">
      <x:alignment vertical="center" wrapText="1"/>
    </x:xf>
    <x:xf numFmtId="201" fontId="6" fillId="0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200" fontId="6" fillId="0" borderId="3" xfId="0" applyNumberFormat="1" applyFont="1" applyFill="1" applyBorder="1" applyAlignment="1">
      <x:alignment vertical="center" wrapText="1"/>
    </x:xf>
    <x:xf numFmtId="201" fontId="6" fillId="0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200" fontId="6" fillId="0" borderId="4" xfId="0" applyNumberFormat="1" applyFont="1" applyFill="1" applyBorder="1" applyAlignment="1">
      <x:alignment vertical="center" wrapText="1"/>
    </x:xf>
    <x:xf numFmtId="201" fontId="6" fillId="0" borderId="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6" fillId="0" borderId="4" xfId="0" applyNumberFormat="1" applyFont="1" applyFill="1" applyBorder="1" applyAlignment="1">
      <x:alignment wrapText="1"/>
    </x:xf>
    <x:xf numFmtId="182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0e4d65b28f47e3" /><Relationship Type="http://schemas.openxmlformats.org/officeDocument/2006/relationships/theme" Target="/xl/theme/theme1.xml" Id="R4de7190decb947fe" /><Relationship Type="http://schemas.openxmlformats.org/officeDocument/2006/relationships/sharedStrings" Target="/xl/sharedStrings.xml" Id="Rb313941cc49e402b" /><Relationship Type="http://schemas.openxmlformats.org/officeDocument/2006/relationships/worksheet" Target="/xl/worksheets/sheet1.xml" Id="Rd83bf456254641b8" /><Relationship Type="http://schemas.openxmlformats.org/officeDocument/2006/relationships/worksheet" Target="/xl/worksheets/sheet2.xml" Id="Re1abcf895f784983" /><Relationship Type="http://schemas.openxmlformats.org/officeDocument/2006/relationships/worksheet" Target="/xl/worksheets/sheet3.xml" Id="R4176ec73c5344289" /><Relationship Type="http://schemas.openxmlformats.org/officeDocument/2006/relationships/worksheet" Target="/xl/worksheets/sheet4.xml" Id="Re95363cbb5134746" /><Relationship Type="http://schemas.openxmlformats.org/officeDocument/2006/relationships/worksheet" Target="/xl/worksheets/sheet5.xml" Id="Rdf52c65a7ba44df0" /></Relationships>
</file>

<file path=xl/tables/table1.xml><?xml version="1.0" encoding="utf-8"?>
<x:table xmlns:x="http://schemas.openxmlformats.org/spreadsheetml/2006/main" id="1" name="ProcessTemplateTable" displayName="ProcessTemplateTable" ref="A4:K253" headerRowCount="1" totalsRowCount="0" totalsRowShown="0">
  <x:tableColumns count="11">
    <x:tableColumn id="1" name="模板编号"/>
    <x:tableColumn id="2" name="零件大类"/>
    <x:tableColumn id="3" name="模板名称"/>
    <x:tableColumn id="4" name="适用说明"/>
    <x:tableColumn id="5" name="工序顺序"/>
    <x:tableColumn id="6" name="工序编号"/>
    <x:tableColumn id="7" name="工序名称"/>
    <x:tableColumn id="8" name="工序大类"/>
    <x:tableColumn id="9" name="默认次数"/>
    <x:tableColumn id="10" name="是否必选"/>
    <x:tableColumn id="11" name="来源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e5d4560f53da454c" /></Relationships>
</file>

<file path=xl/worksheets/sheet1.xml><?xml version="1.0" encoding="utf-8"?>
<x:worksheet xmlns:x="http://schemas.openxmlformats.org/spreadsheetml/2006/main">
  <x:sheetFormatPr defaultColWidth="20.140625" defaultRowHeight="15.550000190734863"/>
  <x:cols>
    <x:col min="1" max="5" width="20.140625" style="7" customWidth="0"/>
    <x:col min="6" max="6" width="23.78515625" style="7" customWidth="1"/>
    <x:col min="7" max="8" width="20.140625" style="7" customWidth="0"/>
    <x:col min="9" max="9" width="18.85546875" style="7" customWidth="1"/>
    <x:col min="10" max="11" width="20.140625" style="7" customWidth="0"/>
    <x:col min="12" max="12" width="22" style="7" customWidth="1"/>
    <x:col min="13" max="16384" width="20.140625" style="7" customWidth="0"/>
  </x:cols>
  <x:sheetData>
    <x:row r="1" ht="15.550000190734863" customHeight="1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8" t="s">
        <x:v>4</x:v>
      </x:c>
      <x:c r="F1" s="7" t="s">
        <x:v>5</x:v>
      </x:c>
      <x:c r="G1" s="7" t="s">
        <x:v>6</x:v>
      </x:c>
      <x:c r="H1" s="8" t="s">
        <x:v>7</x:v>
      </x:c>
    </x:row>
    <x:row r="2" ht="15.550000190734863" customHeight="1">
      <x:c r="A2" s="14"/>
      <x:c r="B2" s="14"/>
      <x:c r="C2" s="14"/>
      <x:c r="D2" s="14"/>
      <x:c r="E2" s="14"/>
      <x:c r="F2" s="14"/>
      <x:c r="G2" s="14"/>
      <x:c r="H2" s="14"/>
    </x:row>
    <x:row r="3" ht="15.550000190734863" customHeight="1">
      <x:c r="A3" s="7" t="s">
        <x:v>8</x:v>
      </x:c>
      <x:c r="B3" s="7" t="n">
        <x:f>SUM(L10:L12)</x:f>
        <x:v>0.26</x:v>
      </x:c>
    </x:row>
    <x:row r="4" ht="15.550000190734863" customHeight="1">
      <x:c r="A4" s="7" t="s">
        <x:v>9</x:v>
      </x:c>
      <x:c r="B4" s="9" t="n">
        <x:f>SUM(AD17:AD24)</x:f>
        <x:v>0.4373859545317186</x:v>
      </x:c>
    </x:row>
    <x:row r="5" ht="15.550000190734863" customHeight="1">
      <x:c r="A5" s="7" t="s">
        <x:v>10</x:v>
      </x:c>
      <x:c r="B5" s="9" t="n">
        <x:f>SUM(G29:G32)</x:f>
        <x:v>0.775</x:v>
      </x:c>
    </x:row>
    <x:row r="6" ht="15.550000190734863" customHeight="1">
      <x:c r="A6" s="7" t="s">
        <x:v>11</x:v>
      </x:c>
      <x:c r="B6" s="7">
        <x:v>15</x:v>
      </x:c>
    </x:row>
    <x:row r="7" ht="15.550000190734863" customHeight="1">
      <x:c r="A7" s="10" t="s">
        <x:v>12</x:v>
      </x:c>
      <x:c r="B7" s="17" t="n">
        <x:f>(B3+B4+B5)*(1+B6/100)</x:f>
        <x:v>1.6932438477114762</x:v>
      </x:c>
    </x:row>
    <x:row r="9" ht="15.550000190734863" customHeight="1">
      <x:c r="A9" s="7" t="s">
        <x:v>8</x:v>
      </x:c>
      <x:c r="B9" s="7" t="s">
        <x:v>13</x:v>
      </x:c>
      <x:c r="C9" s="7" t="s">
        <x:v>14</x:v>
      </x:c>
      <x:c r="D9" s="7" t="s">
        <x:v>15</x:v>
      </x:c>
      <x:c r="E9" s="7" t="s">
        <x:v>16</x:v>
      </x:c>
      <x:c r="F9" s="7" t="s">
        <x:v>17</x:v>
      </x:c>
      <x:c r="G9" s="7" t="s">
        <x:v>18</x:v>
      </x:c>
      <x:c r="H9" s="7" t="s">
        <x:v>19</x:v>
      </x:c>
      <x:c r="I9" s="7" t="s">
        <x:v>20</x:v>
      </x:c>
      <x:c r="J9" s="7" t="s">
        <x:v>21</x:v>
      </x:c>
      <x:c r="K9" s="7" t="s">
        <x:v>22</x:v>
      </x:c>
      <x:c r="L9" s="7" t="s">
        <x:v>23</x:v>
      </x:c>
    </x:row>
    <x:row r="10" ht="15.550000190734863" customHeight="1">
      <x:c r="B10" s="7">
        <x:v>1</x:v>
      </x:c>
      <x:c r="C10" s="14" t="s">
        <x:v>24</x:v>
      </x:c>
      <x:c r="D10" s="14" t="s">
        <x:v>25</x:v>
      </x:c>
      <x:c r="E10" s="14"/>
      <x:c r="F10" s="7" t="s">
        <x:v>26</x:v>
      </x:c>
      <x:c r="G10" s="7">
        <x:v>0.26</x:v>
      </x:c>
      <x:c r="H10" s="7">
        <x:v>1</x:v>
      </x:c>
      <x:c r="I10" s="7" t="s">
        <x:v>27</x:v>
      </x:c>
      <x:c r="J10" s="7">
        <x:v>100</x:v>
      </x:c>
      <x:c r="K10" s="7">
        <x:v>0</x:v>
      </x:c>
      <x:c r="L10" s="19" t="n">
        <x:f>IF(COUNTA(C10:K10)=0,"",G10*H10-((1-J10/100)*(K10/100)*G10))</x:f>
        <x:v>0.26</x:v>
      </x:c>
    </x:row>
    <x:row r="11" ht="15.550000190734863" customHeight="1">
      <x:c r="B11" s="7">
        <x:v>2</x:v>
      </x:c>
      <x:c r="C11" s="14"/>
      <x:c r="D11" s="14"/>
      <x:c r="E11" s="14"/>
      <x:c r="L11" t="str">
        <x:f>IF(COUNTA(C11:K11)=0,"",G11*H11-((1-J11/100)*(K11/100)*G11))</x:f>
      </x:c>
    </x:row>
    <x:row r="12" ht="15.550000190734863" customHeight="1">
      <x:c r="B12" s="7">
        <x:v>3</x:v>
      </x:c>
      <x:c r="C12" s="14"/>
      <x:c r="D12" s="14"/>
      <x:c r="E12" s="14"/>
      <x:c r="L12" t="str">
        <x:f>IF(COUNTA(C12:K12)=0,"",G12*H12-((1-J12/100)*(K12/100)*G12))</x:f>
      </x:c>
    </x:row>
    <x:row r="16" ht="15.550000190734863" customHeight="1">
      <x:c r="A16" s="7" t="s">
        <x:v>9</x:v>
      </x:c>
      <x:c r="B16" s="7" t="s">
        <x:v>28</x:v>
      </x:c>
      <x:c r="C16" s="7" t="s">
        <x:v>29</x:v>
      </x:c>
      <x:c r="D16" s="8" t="s">
        <x:v>30</x:v>
      </x:c>
      <x:c r="E16" s="8" t="s">
        <x:v>31</x:v>
      </x:c>
      <x:c r="F16" s="8" t="s">
        <x:v>32</x:v>
      </x:c>
      <x:c r="G16" s="8" t="s">
        <x:v>33</x:v>
      </x:c>
      <x:c r="H16" s="8" t="s">
        <x:v>34</x:v>
      </x:c>
      <x:c r="I16" s="8" t="s">
        <x:v>35</x:v>
      </x:c>
      <x:c r="J16" s="8" t="s">
        <x:v>36</x:v>
      </x:c>
      <x:c r="K16" s="8" t="s">
        <x:v>37</x:v>
      </x:c>
      <x:c r="L16" s="8" t="s">
        <x:v>38</x:v>
      </x:c>
      <x:c r="M16" s="8" t="s">
        <x:v>39</x:v>
      </x:c>
      <x:c r="N16" s="8" t="s">
        <x:v>40</x:v>
      </x:c>
      <x:c r="O16" s="8" t="s">
        <x:v>41</x:v>
      </x:c>
      <x:c r="P16" s="8" t="s">
        <x:v>42</x:v>
      </x:c>
      <x:c r="Q16" s="8" t="s">
        <x:v>43</x:v>
      </x:c>
      <x:c r="R16" s="8" t="s">
        <x:v>44</x:v>
      </x:c>
      <x:c r="S16" s="8" t="s">
        <x:v>45</x:v>
      </x:c>
      <x:c r="T16" s="8" t="s">
        <x:v>46</x:v>
      </x:c>
      <x:c r="U16" s="7" t="s">
        <x:v>47</x:v>
      </x:c>
      <x:c r="V16" s="7" t="s">
        <x:v>48</x:v>
      </x:c>
      <x:c r="W16" s="8" t="s">
        <x:v>49</x:v>
      </x:c>
      <x:c r="X16" s="7" t="s">
        <x:v>50</x:v>
      </x:c>
      <x:c r="Y16" s="8" t="s">
        <x:v>51</x:v>
      </x:c>
      <x:c r="Z16" s="8" t="s">
        <x:v>52</x:v>
      </x:c>
      <x:c r="AA16" s="8" t="s">
        <x:v>53</x:v>
      </x:c>
      <x:c r="AB16" s="8" t="s">
        <x:v>54</x:v>
      </x:c>
      <x:c r="AC16" s="7" t="s">
        <x:v>55</x:v>
      </x:c>
      <x:c r="AD16" s="7" t="s">
        <x:v>56</x:v>
      </x:c>
    </x:row>
    <x:row r="17" ht="15.550000190734863" customHeight="1">
      <x:c r="B17" s="1" t="s">
        <x:v>57</x:v>
      </x:c>
      <x:c r="C17" s="15" t="s">
        <x:v>58</x:v>
      </x:c>
      <x:c r="D17" s="2">
        <x:v>30</x:v>
      </x:c>
      <x:c r="E17" s="3" t="n">
        <x:f t="shared" ref="E17:E18" si="0">IF(D17="","",IFERROR(60*60/D17,0))</x:f>
        <x:v>120</x:v>
      </x:c>
      <x:c r="F17" s="2">
        <x:v>7</x:v>
      </x:c>
      <x:c r="G17" s="2">
        <x:v>22</x:v>
      </x:c>
      <x:c r="H17" s="2">
        <x:v>300</x:v>
      </x:c>
      <x:c r="I17" s="2">
        <x:v>30000</x:v>
      </x:c>
      <x:c r="J17" s="4" t="n">
        <x:f t="shared" ref="J17:J18" si="1">IF(D17="","",IFERROR(I17/F17/G17/H17/E17,0))</x:f>
        <x:v>0.005411255411255411</x:v>
      </x:c>
      <x:c r="K17" s="1">
        <x:v>0.62777055000000004</x:v>
      </x:c>
      <x:c r="L17" s="1">
        <x:v>1</x:v>
      </x:c>
      <x:c r="M17" s="5" t="n">
        <x:f t="shared" ref="M17:M18" si="2">IF(D17="","",IFERROR(K17*L17/E17,0))</x:f>
        <x:v>0.005231421250000001</x:v>
      </x:c>
      <x:c r="N17" s="1">
        <x:v>3.7</x:v>
      </x:c>
      <x:c r="O17" s="1">
        <x:v>0</x:v>
      </x:c>
      <x:c r="P17" s="1" t="n">
        <x:f t="shared" ref="P17:P18" si="3">IF(D17="","",IFERROR(O17*N17/E17,0))</x:f>
        <x:v>0</x:v>
      </x:c>
      <x:c r="Q17" s="5" t="n">
        <x:f t="shared" ref="Q17:Q18" si="4">IF(D17="","",P17+M17)</x:f>
        <x:v>0.005231421250000001</x:v>
      </x:c>
      <x:c r="R17" s="1">
        <x:v>0</x:v>
      </x:c>
      <x:c r="S17" s="1">
        <x:v>0</x:v>
      </x:c>
      <x:c r="T17" s="1">
        <x:v>0</x:v>
      </x:c>
      <x:c r="U17" s="1">
        <x:v>0</x:v>
      </x:c>
      <x:c r="V17" s="1">
        <x:v>0</x:v>
      </x:c>
      <x:c r="W17" s="1" t="n">
        <x:f t="shared" ref="W17:W18" si="5">IF(D17="","",IFERROR((R17+S17+T17+U17+V17)/E17,0))</x:f>
        <x:v>0</x:v>
      </x:c>
      <x:c r="X17" s="1">
        <x:v>1</x:v>
      </x:c>
      <x:c r="Y17" s="1">
        <x:v>6000</x:v>
      </x:c>
      <x:c r="Z17" s="1">
        <x:v>11</x:v>
      </x:c>
      <x:c r="AA17" s="1">
        <x:v>25</x:v>
      </x:c>
      <x:c r="AB17" s="5" t="n">
        <x:f t="shared" ref="AB17:AB18" si="6">IF(D17="","",IFERROR((X17*Y17)/Z17/AA17/E17,0))</x:f>
        <x:v>0.18181818181818182</x:v>
      </x:c>
      <x:c r="AC17" s="6">
        <x:v>0.998</x:v>
      </x:c>
      <x:c r="AD17" s="18" t="n">
        <x:f t="shared" ref="AD17:AD18" si="7">IF(D17="","",IFERROR((J17+Q17+W17+AB17)/AC17,0))</x:f>
        <x:v>0.19284655158260244</x:v>
      </x:c>
    </x:row>
    <x:row r="18" ht="15.550000190734863" customHeight="1">
      <x:c r="B18" s="1" t="s">
        <x:v>59</x:v>
      </x:c>
      <x:c r="C18" s="15" t="s">
        <x:v>60</x:v>
      </x:c>
      <x:c r="D18" s="2">
        <x:v>30</x:v>
      </x:c>
      <x:c r="E18" s="3">
        <x:f t="shared" si="0"/>
        <x:v>120</x:v>
      </x:c>
      <x:c r="F18" s="2">
        <x:v>7</x:v>
      </x:c>
      <x:c r="G18" s="2">
        <x:v>22</x:v>
      </x:c>
      <x:c r="H18" s="2">
        <x:v>300</x:v>
      </x:c>
      <x:c r="I18" s="2">
        <x:v>200000</x:v>
      </x:c>
      <x:c r="J18" s="4">
        <x:f t="shared" si="1"/>
        <x:v>3.6075036075036072E-2</x:v>
      </x:c>
      <x:c r="K18" s="1">
        <x:v>0.62777055000000004</x:v>
      </x:c>
      <x:c r="L18" s="1">
        <x:v>5</x:v>
      </x:c>
      <x:c r="M18" s="5">
        <x:f t="shared" si="2"/>
        <x:v>2.6157106250000003E-2</x:v>
      </x:c>
      <x:c r="N18" s="1">
        <x:v>3.7</x:v>
      </x:c>
      <x:c r="O18" s="1">
        <x:v>0</x:v>
      </x:c>
      <x:c r="P18" s="1">
        <x:f t="shared" si="3"/>
        <x:v>0</x:v>
      </x:c>
      <x:c r="Q18" s="5">
        <x:f t="shared" si="4"/>
        <x:v>2.6157106250000003E-2</x:v>
      </x:c>
      <x:c r="R18" s="1">
        <x:v>0</x:v>
      </x:c>
      <x:c r="S18" s="1">
        <x:v>0</x:v>
      </x:c>
      <x:c r="T18" s="1">
        <x:v>0</x:v>
      </x:c>
      <x:c r="U18" s="1">
        <x:v>0</x:v>
      </x:c>
      <x:c r="V18" s="1">
        <x:v>0</x:v>
      </x:c>
      <x:c r="W18" s="1">
        <x:f t="shared" si="5"/>
        <x:v>0</x:v>
      </x:c>
      <x:c r="X18" s="1">
        <x:v>1</x:v>
      </x:c>
      <x:c r="Y18" s="1">
        <x:v>6000</x:v>
      </x:c>
      <x:c r="Z18" s="1">
        <x:v>11</x:v>
      </x:c>
      <x:c r="AA18" s="1">
        <x:v>25</x:v>
      </x:c>
      <x:c r="AB18" s="5">
        <x:f t="shared" si="6"/>
        <x:v>0.18181818181818182</x:v>
      </x:c>
      <x:c r="AC18" s="6">
        <x:v>0.998</x:v>
      </x:c>
      <x:c r="AD18" s="18">
        <x:f t="shared" si="7"/>
        <x:v>0.24453940294911614</x:v>
      </x:c>
    </x:row>
    <x:row r="19" ht="15.550000190734863" customHeight="1">
      <x:c r="B19" s="7" t="s">
        <x:v>61</x:v>
      </x:c>
      <x:c r="C19" s="14"/>
      <x:c r="E19" t="str">
        <x:f t="shared" ref="E19:E24" si="8">IF(D19="","",IFERROR(60*60/D19,0))</x:f>
      </x:c>
      <x:c r="J19" t="str">
        <x:f t="shared" ref="J19:J24" si="9">IF(D19="","",IFERROR(I19/F19/G19/H19/E19,0))</x:f>
      </x:c>
      <x:c r="M19" t="str">
        <x:f t="shared" ref="M19:M24" si="10">IF(D19="","",IFERROR(K19*L19/E19,0))</x:f>
      </x:c>
      <x:c r="P19" t="str">
        <x:f t="shared" ref="P19:P24" si="11">IF(D19="","",IFERROR(O19*N19/E19,0))</x:f>
      </x:c>
      <x:c r="Q19" t="str">
        <x:f t="shared" ref="Q19:Q24" si="12">IF(D19="","",P19+M19)</x:f>
      </x:c>
      <x:c r="W19" t="str">
        <x:f t="shared" ref="W19:W24" si="13">IF(D19="","",IFERROR((R19+S19+T19+U19+V19)/E19,0))</x:f>
      </x:c>
      <x:c r="AB19" t="str">
        <x:f t="shared" ref="AB19:AB24" si="14">IF(D19="","",IFERROR((X19*Y19)/Z19/AA19/E19,0))</x:f>
      </x:c>
      <x:c r="AD19" t="str">
        <x:f t="shared" ref="AD19:AD24" si="15">IF(D19="","",IFERROR((J19+Q19+W19+AB19)/AC19,0))</x:f>
      </x:c>
    </x:row>
    <x:row r="20" ht="15.550000190734863" customHeight="1">
      <x:c r="B20" s="7" t="s">
        <x:v>62</x:v>
      </x:c>
      <x:c r="C20" s="14"/>
      <x:c r="E20" t="str">
        <x:f t="shared" si="8"/>
      </x:c>
      <x:c r="J20" t="str">
        <x:f t="shared" si="9"/>
      </x:c>
      <x:c r="M20" t="str">
        <x:f t="shared" si="10"/>
      </x:c>
      <x:c r="P20" t="str">
        <x:f t="shared" si="11"/>
      </x:c>
      <x:c r="Q20" t="str">
        <x:f t="shared" si="12"/>
      </x:c>
      <x:c r="W20" t="str">
        <x:f t="shared" si="13"/>
      </x:c>
      <x:c r="AB20" t="str">
        <x:f t="shared" si="14"/>
      </x:c>
      <x:c r="AD20" t="str">
        <x:f t="shared" si="15"/>
      </x:c>
    </x:row>
    <x:row r="21" ht="15.550000190734863" customHeight="1">
      <x:c r="B21" s="7" t="s">
        <x:v>63</x:v>
      </x:c>
      <x:c r="C21" s="14"/>
      <x:c r="E21" t="str">
        <x:f t="shared" si="8"/>
      </x:c>
      <x:c r="J21" t="str">
        <x:f t="shared" si="9"/>
      </x:c>
      <x:c r="M21" t="str">
        <x:f t="shared" si="10"/>
      </x:c>
      <x:c r="P21" t="str">
        <x:f t="shared" si="11"/>
      </x:c>
      <x:c r="Q21" t="str">
        <x:f t="shared" si="12"/>
      </x:c>
      <x:c r="W21" t="str">
        <x:f t="shared" si="13"/>
      </x:c>
      <x:c r="AB21" t="str">
        <x:f t="shared" si="14"/>
      </x:c>
      <x:c r="AD21" t="str">
        <x:f t="shared" si="15"/>
      </x:c>
    </x:row>
    <x:row r="22" ht="15.550000190734863" customHeight="1">
      <x:c r="B22" s="7" t="s">
        <x:v>64</x:v>
      </x:c>
      <x:c r="C22" s="14"/>
      <x:c r="E22" t="str">
        <x:f t="shared" si="8"/>
      </x:c>
      <x:c r="J22" t="str">
        <x:f t="shared" si="9"/>
      </x:c>
      <x:c r="M22" t="str">
        <x:f t="shared" si="10"/>
      </x:c>
      <x:c r="P22" t="str">
        <x:f t="shared" si="11"/>
      </x:c>
      <x:c r="Q22" t="str">
        <x:f t="shared" si="12"/>
      </x:c>
      <x:c r="W22" t="str">
        <x:f t="shared" si="13"/>
      </x:c>
      <x:c r="AB22" t="str">
        <x:f t="shared" si="14"/>
      </x:c>
      <x:c r="AD22" t="str">
        <x:f t="shared" si="15"/>
      </x:c>
    </x:row>
    <x:row r="23" ht="15.550000190734863" customHeight="1">
      <x:c r="B23" s="7" t="s">
        <x:v>65</x:v>
      </x:c>
      <x:c r="C23" s="14"/>
      <x:c r="E23" t="str">
        <x:f t="shared" si="8"/>
      </x:c>
      <x:c r="J23" t="str">
        <x:f t="shared" si="9"/>
      </x:c>
      <x:c r="M23" t="str">
        <x:f t="shared" si="10"/>
      </x:c>
      <x:c r="P23" t="str">
        <x:f t="shared" si="11"/>
      </x:c>
      <x:c r="Q23" t="str">
        <x:f t="shared" si="12"/>
      </x:c>
      <x:c r="W23" t="str">
        <x:f t="shared" si="13"/>
      </x:c>
      <x:c r="AB23" t="str">
        <x:f t="shared" si="14"/>
      </x:c>
      <x:c r="AD23" t="str">
        <x:f t="shared" si="15"/>
      </x:c>
    </x:row>
    <x:row r="24" ht="15.550000190734863" customHeight="1">
      <x:c r="B24" s="7" t="s">
        <x:v>66</x:v>
      </x:c>
      <x:c r="C24" s="14"/>
      <x:c r="E24" t="str">
        <x:f t="shared" si="8"/>
      </x:c>
      <x:c r="J24" t="str">
        <x:f t="shared" si="9"/>
      </x:c>
      <x:c r="M24" t="str">
        <x:f t="shared" si="10"/>
      </x:c>
      <x:c r="P24" t="str">
        <x:f t="shared" si="11"/>
      </x:c>
      <x:c r="Q24" t="str">
        <x:f t="shared" si="12"/>
      </x:c>
      <x:c r="W24" t="str">
        <x:f t="shared" si="13"/>
      </x:c>
      <x:c r="AB24" t="str">
        <x:f t="shared" si="14"/>
      </x:c>
      <x:c r="AD24" t="str">
        <x:f t="shared" si="15"/>
      </x:c>
    </x:row>
    <x:row r="28" ht="15.550000190734863" customHeight="1">
      <x:c r="A28" s="5" t="s">
        <x:v>67</x:v>
      </x:c>
      <x:c r="B28" s="7" t="s">
        <x:v>68</x:v>
      </x:c>
      <x:c r="C28" s="7" t="s">
        <x:v>69</x:v>
      </x:c>
      <x:c r="D28" s="2" t="s">
        <x:v>70</x:v>
      </x:c>
      <x:c r="E28" s="7" t="s">
        <x:v>71</x:v>
      </x:c>
      <x:c r="F28" s="7" t="s">
        <x:v>72</x:v>
      </x:c>
      <x:c r="G28" s="12" t="s">
        <x:v>73</x:v>
      </x:c>
      <x:c r="H28" s="11" t="s">
        <x:v>74</x:v>
      </x:c>
      <x:c r="I28" s="7" t="s">
        <x:v>75</x:v>
      </x:c>
    </x:row>
    <x:row r="29" ht="15.550000190734863" customHeight="1">
      <x:c r="A29" s="5"/>
      <x:c r="B29" s="7">
        <x:v>1</x:v>
      </x:c>
      <x:c r="C29" s="14" t="s">
        <x:v>76</x:v>
      </x:c>
      <x:c r="D29" s="2">
        <x:v>0.1</x:v>
      </x:c>
      <x:c r="E29" s="7" t="s">
        <x:v>27</x:v>
      </x:c>
      <x:c r="F29" s="7">
        <x:v>1</x:v>
      </x:c>
      <x:c r="G29" s="64" t="n">
        <x:f>D29*H29/$I$29/F29</x:f>
        <x:v>0.1</x:v>
      </x:c>
      <x:c r="H29" s="16">
        <x:v>20</x:v>
      </x:c>
      <x:c r="I29" s="14">
        <x:v>20</x:v>
      </x:c>
    </x:row>
    <x:row r="30" ht="15.550000190734863" customHeight="1">
      <x:c r="A30" s="5"/>
      <x:c r="B30" s="7">
        <x:v>2</x:v>
      </x:c>
      <x:c r="C30" s="14" t="s">
        <x:v>77</x:v>
      </x:c>
      <x:c r="D30" s="2">
        <x:v>0.5</x:v>
      </x:c>
      <x:c r="E30" s="7" t="s">
        <x:v>27</x:v>
      </x:c>
      <x:c r="F30" s="7">
        <x:v>1</x:v>
      </x:c>
      <x:c r="G30" s="64" t="n">
        <x:f>D30*H30/$I$29/F30</x:f>
        <x:v>0.125</x:v>
      </x:c>
      <x:c r="H30" s="16">
        <x:v>5</x:v>
      </x:c>
      <x:c r="I30" s="1"/>
      <x:c r="J30" s="1"/>
    </x:row>
    <x:row r="31" ht="15.550000190734863" customHeight="1">
      <x:c r="A31" s="5"/>
      <x:c r="B31" s="7">
        <x:v>3</x:v>
      </x:c>
      <x:c r="C31" s="14" t="s">
        <x:v>78</x:v>
      </x:c>
      <x:c r="D31" s="2">
        <x:v>0.1</x:v>
      </x:c>
      <x:c r="E31" s="7" t="s">
        <x:v>27</x:v>
      </x:c>
      <x:c r="F31" s="7">
        <x:v>1</x:v>
      </x:c>
      <x:c r="G31" s="64" t="n">
        <x:f>D31*H31/$I$29/F31</x:f>
        <x:v>0.05</x:v>
      </x:c>
      <x:c r="H31" s="16">
        <x:v>10</x:v>
      </x:c>
      <x:c r="I31" s="1"/>
      <x:c r="J31" s="1"/>
    </x:row>
    <x:row r="32" ht="15.550000190734863" customHeight="1">
      <x:c r="A32" s="5"/>
      <x:c r="B32" s="7">
        <x:v>4</x:v>
      </x:c>
      <x:c r="C32" s="14" t="s">
        <x:v>79</x:v>
      </x:c>
      <x:c r="D32" s="2">
        <x:v>10</x:v>
      </x:c>
      <x:c r="E32" s="7" t="s">
        <x:v>27</x:v>
      </x:c>
      <x:c r="F32" s="7">
        <x:v>1</x:v>
      </x:c>
      <x:c r="G32" s="64" t="n">
        <x:f>D32*H32/$I$29/F32</x:f>
        <x:v>0.5</x:v>
      </x:c>
      <x:c r="H32" s="16">
        <x:v>1</x:v>
      </x:c>
      <x:c r="I32" s="1"/>
      <x:c r="J32" s="1"/>
    </x:row>
    <x:row r="33" ht="15.550000190734863" customHeight="1">
      <x:c r="A33" s="5"/>
      <x:c r="D33" s="2"/>
      <x:c r="E33" s="1"/>
      <x:c r="G33" s="2"/>
      <x:c r="H33" s="1"/>
      <x:c r="I33" s="1"/>
      <x:c r="J33" s="1"/>
    </x:row>
    <x:row r="34" ht="15.550000190734863" customHeight="1">
      <x:c r="A34" s="5" t="s">
        <x:v>80</x:v>
      </x:c>
      <x:c r="B34" s="1" t="s">
        <x:v>81</x:v>
      </x:c>
      <x:c r="C34" s="3" t="s">
        <x:v>82</x:v>
      </x:c>
      <x:c r="D34" s="11" t="s">
        <x:v>83</x:v>
      </x:c>
      <x:c r="E34" s="1"/>
      <x:c r="G34" s="2"/>
      <x:c r="H34" s="1"/>
      <x:c r="I34" s="1"/>
      <x:c r="J34" s="1"/>
    </x:row>
    <x:row r="35" ht="15.550000190734863" customHeight="1">
      <x:c r="A35" s="5"/>
      <x:c r="B35" s="16">
        <x:v>300</x:v>
      </x:c>
      <x:c r="C35" s="16">
        <x:v>5000</x:v>
      </x:c>
      <x:c r="D35" s="1" t="n">
        <x:f>B35/C35</x:f>
        <x:v>0.06</x:v>
      </x:c>
      <x:c r="E35" s="1"/>
      <x:c r="G35" s="2"/>
      <x:c r="H35" s="1"/>
      <x:c r="I35" s="1"/>
      <x:c r="J35" s="1"/>
    </x:row>
    <x:row r="37" ht="15.550000190734863" customHeight="1">
      <x:c r="A37" s="13"/>
      <x:c r="B37" s="2"/>
      <x:c r="D3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13.85546875" defaultRowHeight="14.149999618530273"/>
  <x:cols>
    <x:col min="1" max="1" width="18" customWidth="1"/>
    <x:col min="2" max="3" width="24" customWidth="1"/>
    <x:col min="4" max="4" width="11" customWidth="1"/>
    <x:col min="5" max="5" width="13" customWidth="1"/>
    <x:col min="6" max="6" width="14" customWidth="1"/>
    <x:col min="7" max="8" width="15" customWidth="1"/>
    <x:col min="9" max="9" width="66" customWidth="1"/>
  </x:cols>
  <x:sheetData>
    <x:row r="1" ht="42" customHeight="1">
      <x:c r="A1" s="20" t="s">
        <x:v>14</x:v>
      </x:c>
      <x:c r="B1" s="20" t="s">
        <x:v>15</x:v>
      </x:c>
      <x:c r="C1" s="20" t="s">
        <x:v>16</x:v>
      </x:c>
      <x:c r="D1" s="20" t="s">
        <x:v>17</x:v>
      </x:c>
      <x:c r="E1" s="20" t="s">
        <x:v>18</x:v>
      </x:c>
      <x:c r="F1" s="20" t="s">
        <x:v>20</x:v>
      </x:c>
      <x:c r="G1" s="20" t="s">
        <x:v>21</x:v>
      </x:c>
      <x:c r="H1" s="20" t="s">
        <x:v>22</x:v>
      </x:c>
      <x:c r="I1" s="27" t="s">
        <x:v>84</x:v>
      </x:c>
    </x:row>
    <x:row r="2" ht="15">
      <x:c r="A2" s="21"/>
      <x:c r="B2" s="21"/>
      <x:c r="C2" s="21"/>
      <x:c r="D2" s="21"/>
      <x:c r="E2" s="29"/>
      <x:c r="F2" s="21"/>
      <x:c r="G2" s="21"/>
      <x:c r="H2" s="21"/>
      <x:c r="I2" s="28"/>
    </x:row>
    <x:row r="3" ht="15">
      <x:c r="A3" s="21" t="s">
        <x:v>85</x:v>
      </x:c>
      <x:c r="B3" s="21" t="s">
        <x:v>86</x:v>
      </x:c>
      <x:c r="C3" s="21" t="s">
        <x:v>87</x:v>
      </x:c>
      <x:c r="D3" s="21" t="s">
        <x:v>88</x:v>
      </x:c>
      <x:c r="E3" s="29">
        <x:v>101</x:v>
      </x:c>
      <x:c r="F3" s="21" t="s">
        <x:v>89</x:v>
      </x:c>
      <x:c r="G3" s="21">
        <x:v>80</x:v>
      </x:c>
      <x:c r="H3" s="21">
        <x:v>80</x:v>
      </x:c>
      <x:c r="I3" s="28"/>
    </x:row>
    <x:row r="4" ht="15">
      <x:c r="A4" s="21" t="s">
        <x:v>85</x:v>
      </x:c>
      <x:c r="B4" s="21" t="s">
        <x:v>90</x:v>
      </x:c>
      <x:c r="C4" s="21" t="s">
        <x:v>87</x:v>
      </x:c>
      <x:c r="D4" s="21" t="s">
        <x:v>88</x:v>
      </x:c>
      <x:c r="E4" s="29">
        <x:v>52</x:v>
      </x:c>
      <x:c r="F4" s="21" t="s">
        <x:v>89</x:v>
      </x:c>
      <x:c r="G4" s="21">
        <x:v>80</x:v>
      </x:c>
      <x:c r="H4" s="21">
        <x:v>80</x:v>
      </x:c>
      <x:c r="I4" s="28"/>
    </x:row>
    <x:row r="5" ht="15">
      <x:c r="A5" s="21" t="s">
        <x:v>85</x:v>
      </x:c>
      <x:c r="B5" s="21" t="s">
        <x:v>91</x:v>
      </x:c>
      <x:c r="C5" s="21" t="s">
        <x:v>92</x:v>
      </x:c>
      <x:c r="D5" s="21" t="s">
        <x:v>93</x:v>
      </x:c>
      <x:c r="E5" s="29">
        <x:v>64</x:v>
      </x:c>
      <x:c r="F5" s="21" t="s">
        <x:v>89</x:v>
      </x:c>
      <x:c r="G5" s="21">
        <x:v>80</x:v>
      </x:c>
      <x:c r="H5" s="21">
        <x:v>80</x:v>
      </x:c>
      <x:c r="I5" s="28"/>
    </x:row>
    <x:row r="6" ht="15">
      <x:c r="A6" s="21"/>
      <x:c r="B6" s="21"/>
      <x:c r="C6" s="21"/>
      <x:c r="D6" s="21"/>
      <x:c r="E6" s="29"/>
      <x:c r="F6" s="21"/>
      <x:c r="G6" s="21"/>
      <x:c r="H6" s="21"/>
      <x:c r="I6" s="28"/>
    </x:row>
    <x:row r="7" ht="15">
      <x:c r="A7" s="21"/>
      <x:c r="B7" s="21"/>
      <x:c r="C7" s="21"/>
      <x:c r="D7" s="21"/>
      <x:c r="E7" s="29"/>
      <x:c r="F7" s="21"/>
      <x:c r="G7" s="21"/>
      <x:c r="H7" s="21"/>
      <x:c r="I7" s="28"/>
    </x:row>
    <x:row r="8" ht="15">
      <x:c r="A8" s="21" t="s">
        <x:v>94</x:v>
      </x:c>
      <x:c r="B8" s="21" t="s">
        <x:v>95</x:v>
      </x:c>
      <x:c r="C8" s="21" t="s">
        <x:v>87</x:v>
      </x:c>
      <x:c r="D8" s="21" t="s">
        <x:v>88</x:v>
      </x:c>
      <x:c r="E8" s="29">
        <x:v>24</x:v>
      </x:c>
      <x:c r="F8" s="21" t="s">
        <x:v>89</x:v>
      </x:c>
      <x:c r="G8" s="21">
        <x:v>80</x:v>
      </x:c>
      <x:c r="H8" s="21">
        <x:v>80</x:v>
      </x:c>
      <x:c r="I8" s="28"/>
    </x:row>
    <x:row r="9" ht="15">
      <x:c r="A9" s="21" t="s">
        <x:v>94</x:v>
      </x:c>
      <x:c r="B9" s="21" t="s">
        <x:v>96</x:v>
      </x:c>
      <x:c r="C9" s="21" t="s">
        <x:v>87</x:v>
      </x:c>
      <x:c r="D9" s="21" t="s">
        <x:v>88</x:v>
      </x:c>
      <x:c r="E9" s="29">
        <x:v>26</x:v>
      </x:c>
      <x:c r="F9" s="21" t="s">
        <x:v>89</x:v>
      </x:c>
      <x:c r="G9" s="21">
        <x:v>80</x:v>
      </x:c>
      <x:c r="H9" s="21">
        <x:v>80</x:v>
      </x:c>
      <x:c r="I9" s="28"/>
    </x:row>
    <x:row r="10" ht="15">
      <x:c r="A10" s="21" t="s">
        <x:v>94</x:v>
      </x:c>
      <x:c r="B10" s="21" t="s">
        <x:v>97</x:v>
      </x:c>
      <x:c r="C10" s="21" t="s">
        <x:v>87</x:v>
      </x:c>
      <x:c r="D10" s="21" t="s">
        <x:v>88</x:v>
      </x:c>
      <x:c r="E10" s="29">
        <x:v>28</x:v>
      </x:c>
      <x:c r="F10" s="21" t="s">
        <x:v>89</x:v>
      </x:c>
      <x:c r="G10" s="21">
        <x:v>80</x:v>
      </x:c>
      <x:c r="H10" s="21">
        <x:v>80</x:v>
      </x:c>
      <x:c r="I10" s="28"/>
    </x:row>
    <x:row r="11" ht="15">
      <x:c r="A11" s="21" t="s">
        <x:v>94</x:v>
      </x:c>
      <x:c r="B11" s="21" t="s">
        <x:v>98</x:v>
      </x:c>
      <x:c r="C11" s="21" t="s">
        <x:v>87</x:v>
      </x:c>
      <x:c r="D11" s="21" t="s">
        <x:v>88</x:v>
      </x:c>
      <x:c r="E11" s="29">
        <x:v>40</x:v>
      </x:c>
      <x:c r="F11" s="21" t="s">
        <x:v>89</x:v>
      </x:c>
      <x:c r="G11" s="21">
        <x:v>80</x:v>
      </x:c>
      <x:c r="H11" s="21">
        <x:v>80</x:v>
      </x:c>
      <x:c r="I11" s="28"/>
    </x:row>
    <x:row r="12" ht="15">
      <x:c r="A12" s="21" t="s">
        <x:v>94</x:v>
      </x:c>
      <x:c r="B12" s="21" t="s">
        <x:v>99</x:v>
      </x:c>
      <x:c r="C12" s="21" t="s">
        <x:v>87</x:v>
      </x:c>
      <x:c r="D12" s="21" t="s">
        <x:v>88</x:v>
      </x:c>
      <x:c r="E12" s="29">
        <x:v>28</x:v>
      </x:c>
      <x:c r="F12" s="21" t="s">
        <x:v>89</x:v>
      </x:c>
      <x:c r="G12" s="21">
        <x:v>80</x:v>
      </x:c>
      <x:c r="H12" s="21">
        <x:v>80</x:v>
      </x:c>
      <x:c r="I12" s="28"/>
    </x:row>
    <x:row r="13" ht="15">
      <x:c r="A13" s="21" t="s">
        <x:v>94</x:v>
      </x:c>
      <x:c r="B13" s="21" t="s">
        <x:v>100</x:v>
      </x:c>
      <x:c r="C13" s="21" t="s">
        <x:v>87</x:v>
      </x:c>
      <x:c r="D13" s="21" t="s">
        <x:v>88</x:v>
      </x:c>
      <x:c r="E13" s="29">
        <x:v>24</x:v>
      </x:c>
      <x:c r="F13" s="21" t="s">
        <x:v>89</x:v>
      </x:c>
      <x:c r="G13" s="21">
        <x:v>80</x:v>
      </x:c>
      <x:c r="H13" s="21">
        <x:v>80</x:v>
      </x:c>
      <x:c r="I13" s="28"/>
    </x:row>
    <x:row r="14" ht="15">
      <x:c r="A14" s="21"/>
      <x:c r="B14" s="21"/>
      <x:c r="C14" s="21"/>
      <x:c r="D14" s="21"/>
      <x:c r="E14" s="29"/>
      <x:c r="F14" s="21"/>
      <x:c r="G14" s="21"/>
      <x:c r="H14" s="21"/>
      <x:c r="I14" s="28"/>
    </x:row>
    <x:row r="15" ht="15">
      <x:c r="A15" s="21"/>
      <x:c r="B15" s="21"/>
      <x:c r="C15" s="21"/>
      <x:c r="D15" s="21"/>
      <x:c r="E15" s="29"/>
      <x:c r="F15" s="21"/>
      <x:c r="G15" s="21"/>
      <x:c r="H15" s="21"/>
      <x:c r="I15" s="28"/>
    </x:row>
    <x:row r="16" ht="15">
      <x:c r="A16" s="21" t="s">
        <x:v>101</x:v>
      </x:c>
      <x:c r="B16" s="23">
        <x:v>201</x:v>
      </x:c>
      <x:c r="C16" s="21" t="s">
        <x:v>87</x:v>
      </x:c>
      <x:c r="D16" s="21" t="s">
        <x:v>88</x:v>
      </x:c>
      <x:c r="E16" s="29">
        <x:v>8.8000000000000007</x:v>
      </x:c>
      <x:c r="F16" s="21" t="s">
        <x:v>89</x:v>
      </x:c>
      <x:c r="G16" s="21">
        <x:v>80</x:v>
      </x:c>
      <x:c r="H16" s="21">
        <x:v>80</x:v>
      </x:c>
      <x:c r="I16" s="28"/>
    </x:row>
    <x:row r="17" ht="15">
      <x:c r="A17" s="21" t="s">
        <x:v>101</x:v>
      </x:c>
      <x:c r="B17" s="21">
        <x:v>304</x:v>
      </x:c>
      <x:c r="C17" s="21" t="s">
        <x:v>87</x:v>
      </x:c>
      <x:c r="D17" s="21" t="s">
        <x:v>88</x:v>
      </x:c>
      <x:c r="E17" s="29">
        <x:v>14.5</x:v>
      </x:c>
      <x:c r="F17" s="21" t="s">
        <x:v>89</x:v>
      </x:c>
      <x:c r="G17" s="21">
        <x:v>80</x:v>
      </x:c>
      <x:c r="H17" s="21">
        <x:v>80</x:v>
      </x:c>
      <x:c r="I17" s="28"/>
    </x:row>
    <x:row r="18" ht="15">
      <x:c r="A18" s="21" t="s">
        <x:v>101</x:v>
      </x:c>
      <x:c r="B18" s="21">
        <x:v>316</x:v>
      </x:c>
      <x:c r="C18" s="21" t="s">
        <x:v>87</x:v>
      </x:c>
      <x:c r="D18" s="21" t="s">
        <x:v>88</x:v>
      </x:c>
      <x:c r="E18" s="29">
        <x:v>29.5</x:v>
      </x:c>
      <x:c r="F18" s="21" t="s">
        <x:v>89</x:v>
      </x:c>
      <x:c r="G18" s="21">
        <x:v>80</x:v>
      </x:c>
      <x:c r="H18" s="21">
        <x:v>80</x:v>
      </x:c>
      <x:c r="I18" s="28"/>
    </x:row>
    <x:row r="19">
      <x:c r="A19" s="24" t="s">
        <x:v>102</x:v>
      </x:c>
      <x:c r="B19" s="24" t="s">
        <x:v>103</x:v>
      </x:c>
      <x:c r="C19" s="24" t="s">
        <x:v>104</x:v>
      </x:c>
      <x:c r="D19" s="24" t="s">
        <x:v>88</x:v>
      </x:c>
      <x:c r="E19" s="26">
        <x:v>5.2</x:v>
      </x:c>
      <x:c r="F19" s="24" t="s">
        <x:v>89</x:v>
      </x:c>
      <x:c r="G19" s="24">
        <x:v>80</x:v>
      </x:c>
      <x:c r="H19" s="24">
        <x:v>70</x:v>
      </x:c>
      <x:c r="I19" s="25" t="s">
        <x:v>105</x:v>
      </x:c>
    </x:row>
    <x:row r="20">
      <x:c r="A20" s="24" t="s">
        <x:v>102</x:v>
      </x:c>
      <x:c r="B20" s="24" t="s">
        <x:v>106</x:v>
      </x:c>
      <x:c r="C20" s="24" t="s">
        <x:v>107</x:v>
      </x:c>
      <x:c r="D20" s="24" t="s">
        <x:v>88</x:v>
      </x:c>
      <x:c r="E20" s="26">
        <x:v>5.5</x:v>
      </x:c>
      <x:c r="F20" s="24" t="s">
        <x:v>89</x:v>
      </x:c>
      <x:c r="G20" s="24">
        <x:v>80</x:v>
      </x:c>
      <x:c r="H20" s="24">
        <x:v>70</x:v>
      </x:c>
      <x:c r="I20" s="25" t="s">
        <x:v>108</x:v>
      </x:c>
    </x:row>
    <x:row r="21">
      <x:c r="A21" s="24" t="s">
        <x:v>102</x:v>
      </x:c>
      <x:c r="B21" s="24" t="s">
        <x:v>109</x:v>
      </x:c>
      <x:c r="C21" s="24" t="s">
        <x:v>110</x:v>
      </x:c>
      <x:c r="D21" s="24" t="s">
        <x:v>88</x:v>
      </x:c>
      <x:c r="E21" s="26">
        <x:v>4.2</x:v>
      </x:c>
      <x:c r="F21" s="24" t="s">
        <x:v>89</x:v>
      </x:c>
      <x:c r="G21" s="24">
        <x:v>80</x:v>
      </x:c>
      <x:c r="H21" s="24">
        <x:v>70</x:v>
      </x:c>
      <x:c r="I21" s="25" t="s">
        <x:v>108</x:v>
      </x:c>
    </x:row>
    <x:row r="22">
      <x:c r="A22" s="24" t="s">
        <x:v>102</x:v>
      </x:c>
      <x:c r="B22" s="24" t="s">
        <x:v>111</x:v>
      </x:c>
      <x:c r="C22" s="24" t="s">
        <x:v>112</x:v>
      </x:c>
      <x:c r="D22" s="24" t="s">
        <x:v>88</x:v>
      </x:c>
      <x:c r="E22" s="26">
        <x:v>4.8</x:v>
      </x:c>
      <x:c r="F22" s="24" t="s">
        <x:v>89</x:v>
      </x:c>
      <x:c r="G22" s="24">
        <x:v>80</x:v>
      </x:c>
      <x:c r="H22" s="24">
        <x:v>70</x:v>
      </x:c>
      <x:c r="I22" s="25" t="s">
        <x:v>108</x:v>
      </x:c>
    </x:row>
    <x:row r="23">
      <x:c r="A23" s="24" t="s">
        <x:v>113</x:v>
      </x:c>
      <x:c r="B23" s="24" t="s">
        <x:v>114</x:v>
      </x:c>
      <x:c r="C23" s="24" t="s">
        <x:v>115</x:v>
      </x:c>
      <x:c r="D23" s="24" t="s">
        <x:v>88</x:v>
      </x:c>
      <x:c r="E23" s="26">
        <x:v>6.5</x:v>
      </x:c>
      <x:c r="F23" s="24" t="s">
        <x:v>89</x:v>
      </x:c>
      <x:c r="G23" s="24">
        <x:v>75</x:v>
      </x:c>
      <x:c r="H23" s="24">
        <x:v>65</x:v>
      </x:c>
      <x:c r="I23" s="25" t="s">
        <x:v>116</x:v>
      </x:c>
    </x:row>
    <x:row r="24">
      <x:c r="A24" s="24" t="s">
        <x:v>113</x:v>
      </x:c>
      <x:c r="B24" s="24" t="s">
        <x:v>117</x:v>
      </x:c>
      <x:c r="C24" s="24" t="s">
        <x:v>118</x:v>
      </x:c>
      <x:c r="D24" s="24" t="s">
        <x:v>88</x:v>
      </x:c>
      <x:c r="E24" s="26">
        <x:v>8.5</x:v>
      </x:c>
      <x:c r="F24" s="24" t="s">
        <x:v>89</x:v>
      </x:c>
      <x:c r="G24" s="24">
        <x:v>90</x:v>
      </x:c>
      <x:c r="H24" s="24">
        <x:v>60</x:v>
      </x:c>
      <x:c r="I24" s="25" t="s">
        <x:v>119</x:v>
      </x:c>
    </x:row>
    <x:row r="25" ht="15">
      <x:c r="A25" s="21"/>
      <x:c r="B25" s="21"/>
      <x:c r="C25" s="21"/>
      <x:c r="D25" s="21"/>
      <x:c r="E25" s="29"/>
      <x:c r="F25" s="21"/>
      <x:c r="G25" s="21"/>
      <x:c r="H25" s="21"/>
      <x:c r="I25" s="28"/>
    </x:row>
    <x:row r="26" ht="15">
      <x:c r="A26" s="21"/>
      <x:c r="B26" s="21"/>
      <x:c r="C26" s="21"/>
      <x:c r="D26" s="21"/>
      <x:c r="E26" s="29"/>
      <x:c r="F26" s="21"/>
      <x:c r="G26" s="21"/>
      <x:c r="H26" s="21"/>
      <x:c r="I26" s="28"/>
    </x:row>
    <x:row r="27" ht="15">
      <x:c r="A27" s="21" t="s">
        <x:v>120</x:v>
      </x:c>
      <x:c r="B27" s="21" t="s">
        <x:v>121</x:v>
      </x:c>
      <x:c r="C27" s="21" t="s">
        <x:v>87</x:v>
      </x:c>
      <x:c r="D27" s="21" t="s">
        <x:v>88</x:v>
      </x:c>
      <x:c r="E27" s="29">
        <x:v>16650</x:v>
      </x:c>
      <x:c r="F27" s="21" t="s">
        <x:v>89</x:v>
      </x:c>
      <x:c r="G27" s="21">
        <x:v>95</x:v>
      </x:c>
      <x:c r="H27" s="21">
        <x:v>95</x:v>
      </x:c>
      <x:c r="I27" s="28"/>
    </x:row>
    <x:row r="28" ht="15">
      <x:c r="A28" s="21"/>
      <x:c r="B28" s="21"/>
      <x:c r="C28" s="21"/>
      <x:c r="D28" s="21"/>
      <x:c r="E28" s="29"/>
      <x:c r="F28" s="21"/>
      <x:c r="G28" s="21"/>
      <x:c r="H28" s="21"/>
      <x:c r="I28" s="28"/>
    </x:row>
    <x:row r="29" ht="15">
      <x:c r="A29" s="21"/>
      <x:c r="B29" s="21"/>
      <x:c r="C29" s="21"/>
      <x:c r="D29" s="21"/>
      <x:c r="E29" s="29"/>
      <x:c r="F29" s="21"/>
      <x:c r="G29" s="21"/>
      <x:c r="H29" s="21"/>
      <x:c r="I29" s="28"/>
    </x:row>
    <x:row r="30" ht="15">
      <x:c r="A30" s="21"/>
      <x:c r="B30" s="21"/>
      <x:c r="C30" s="21"/>
      <x:c r="D30" s="21"/>
      <x:c r="E30" s="29"/>
      <x:c r="F30" s="21"/>
      <x:c r="G30" s="21"/>
      <x:c r="H30" s="21"/>
      <x:c r="I30" s="28"/>
    </x:row>
    <x:row r="31" ht="15">
      <x:c r="A31" s="21"/>
      <x:c r="B31" s="21"/>
      <x:c r="C31" s="21"/>
      <x:c r="D31" s="21"/>
      <x:c r="E31" s="29"/>
      <x:c r="F31" s="21"/>
      <x:c r="G31" s="21"/>
      <x:c r="H31" s="21"/>
      <x:c r="I31" s="28"/>
    </x:row>
    <x:row r="32" ht="15">
      <x:c r="A32" s="21" t="s">
        <x:v>122</x:v>
      </x:c>
      <x:c r="B32" s="21" t="s">
        <x:v>123</x:v>
      </x:c>
      <x:c r="C32" s="21" t="s">
        <x:v>87</x:v>
      </x:c>
      <x:c r="D32" s="21" t="s">
        <x:v>88</x:v>
      </x:c>
      <x:c r="E32" s="29">
        <x:v>128</x:v>
      </x:c>
      <x:c r="F32" s="21" t="s">
        <x:v>89</x:v>
      </x:c>
      <x:c r="G32" s="21">
        <x:v>95</x:v>
      </x:c>
      <x:c r="H32" s="21">
        <x:v>95</x:v>
      </x:c>
      <x:c r="I32" s="28"/>
    </x:row>
    <x:row r="33" ht="15">
      <x:c r="A33" s="21" t="s">
        <x:v>122</x:v>
      </x:c>
      <x:c r="B33" s="21" t="s">
        <x:v>124</x:v>
      </x:c>
      <x:c r="C33" s="21" t="s">
        <x:v>87</x:v>
      </x:c>
      <x:c r="D33" s="21" t="s">
        <x:v>125</x:v>
      </x:c>
      <x:c r="E33" s="29">
        <x:v>0.28000000000000003</x:v>
      </x:c>
      <x:c r="F33" s="21" t="s">
        <x:v>27</x:v>
      </x:c>
      <x:c r="G33" s="21">
        <x:v>100</x:v>
      </x:c>
      <x:c r="H33" s="21">
        <x:v>0</x:v>
      </x:c>
      <x:c r="I33" s="28"/>
    </x:row>
    <x:row r="34" ht="15">
      <x:c r="A34" s="21"/>
      <x:c r="B34" s="21"/>
      <x:c r="C34" s="21"/>
      <x:c r="D34" s="21"/>
      <x:c r="E34" s="29"/>
      <x:c r="F34" s="21"/>
      <x:c r="G34" s="21"/>
      <x:c r="H34" s="21"/>
      <x:c r="I34" s="28"/>
    </x:row>
    <x:row r="35" ht="15">
      <x:c r="A35" s="21"/>
      <x:c r="B35" s="21"/>
      <x:c r="C35" s="21"/>
      <x:c r="D35" s="21"/>
      <x:c r="E35" s="29"/>
      <x:c r="F35" s="21"/>
      <x:c r="G35" s="21"/>
      <x:c r="H35" s="21"/>
      <x:c r="I35" s="28"/>
    </x:row>
    <x:row r="36" ht="15">
      <x:c r="A36" s="21"/>
      <x:c r="B36" s="21"/>
      <x:c r="C36" s="21"/>
      <x:c r="D36" s="21"/>
      <x:c r="E36" s="29"/>
      <x:c r="F36" s="21"/>
      <x:c r="G36" s="21"/>
      <x:c r="H36" s="21"/>
      <x:c r="I36" s="28"/>
    </x:row>
    <x:row r="37" ht="15">
      <x:c r="A37" s="21"/>
      <x:c r="B37" s="21"/>
      <x:c r="C37" s="21"/>
      <x:c r="D37" s="21"/>
      <x:c r="E37" s="29"/>
      <x:c r="F37" s="21"/>
      <x:c r="G37" s="21"/>
      <x:c r="H37" s="21"/>
      <x:c r="I37" s="28"/>
    </x:row>
    <x:row r="38" ht="15">
      <x:c r="A38" s="21" t="s">
        <x:v>126</x:v>
      </x:c>
      <x:c r="B38" s="21" t="s">
        <x:v>127</x:v>
      </x:c>
      <x:c r="C38" s="21" t="s">
        <x:v>128</x:v>
      </x:c>
      <x:c r="D38" s="21" t="s">
        <x:v>26</x:v>
      </x:c>
      <x:c r="E38" s="29">
        <x:v>0.26</x:v>
      </x:c>
      <x:c r="F38" s="21" t="s">
        <x:v>27</x:v>
      </x:c>
      <x:c r="G38" s="21">
        <x:v>100</x:v>
      </x:c>
      <x:c r="H38" s="21">
        <x:v>0</x:v>
      </x:c>
      <x:c r="I38" s="28" t="s">
        <x:v>129</x:v>
      </x:c>
    </x:row>
    <x:row r="39" ht="15">
      <x:c r="A39" s="21" t="s">
        <x:v>126</x:v>
      </x:c>
      <x:c r="B39" s="22" t="s">
        <x:v>130</x:v>
      </x:c>
      <x:c r="C39" s="21" t="s">
        <x:v>128</x:v>
      </x:c>
      <x:c r="D39" s="21" t="s">
        <x:v>26</x:v>
      </x:c>
      <x:c r="E39" s="30">
        <x:v>0.45</x:v>
      </x:c>
      <x:c r="F39" s="21" t="s">
        <x:v>27</x:v>
      </x:c>
      <x:c r="G39" s="21">
        <x:v>100</x:v>
      </x:c>
      <x:c r="H39" s="21">
        <x:v>0</x:v>
      </x:c>
      <x:c r="I39" s="28" t="s">
        <x:v>129</x:v>
      </x:c>
    </x:row>
    <x:row r="40" ht="15">
      <x:c r="A40" s="21" t="s">
        <x:v>126</x:v>
      </x:c>
      <x:c r="B40" s="22" t="s">
        <x:v>131</x:v>
      </x:c>
      <x:c r="C40" s="21" t="s">
        <x:v>128</x:v>
      </x:c>
      <x:c r="D40" s="21" t="s">
        <x:v>26</x:v>
      </x:c>
      <x:c r="E40" s="30">
        <x:v>0.9</x:v>
      </x:c>
      <x:c r="F40" s="21" t="s">
        <x:v>27</x:v>
      </x:c>
      <x:c r="G40" s="21">
        <x:v>100</x:v>
      </x:c>
      <x:c r="H40" s="21">
        <x:v>0</x:v>
      </x:c>
      <x:c r="I40" s="28" t="s">
        <x:v>129</x:v>
      </x:c>
    </x:row>
    <x:row r="41" ht="15">
      <x:c r="A41" s="21" t="s">
        <x:v>126</x:v>
      </x:c>
      <x:c r="B41" s="22" t="s">
        <x:v>132</x:v>
      </x:c>
      <x:c r="C41" s="21" t="s">
        <x:v>128</x:v>
      </x:c>
      <x:c r="D41" s="21" t="s">
        <x:v>26</x:v>
      </x:c>
      <x:c r="E41" s="30">
        <x:v>1.34</x:v>
      </x:c>
      <x:c r="F41" s="21" t="s">
        <x:v>27</x:v>
      </x:c>
      <x:c r="G41" s="21">
        <x:v>100</x:v>
      </x:c>
      <x:c r="H41" s="21">
        <x:v>0</x:v>
      </x:c>
      <x:c r="I41" s="28" t="s">
        <x:v>129</x:v>
      </x:c>
    </x:row>
    <x:row r="42" ht="15">
      <x:c r="A42" s="21" t="s">
        <x:v>126</x:v>
      </x:c>
      <x:c r="B42" s="22" t="s">
        <x:v>133</x:v>
      </x:c>
      <x:c r="C42" s="21" t="s">
        <x:v>128</x:v>
      </x:c>
      <x:c r="D42" s="21" t="s">
        <x:v>26</x:v>
      </x:c>
      <x:c r="E42" s="30">
        <x:v>2.2400000000000002</x:v>
      </x:c>
      <x:c r="F42" s="21" t="s">
        <x:v>27</x:v>
      </x:c>
      <x:c r="G42" s="21">
        <x:v>100</x:v>
      </x:c>
      <x:c r="H42" s="21">
        <x:v>0</x:v>
      </x:c>
      <x:c r="I42" s="28" t="s">
        <x:v>129</x:v>
      </x:c>
    </x:row>
    <x:row r="43">
      <x:c r="A43" s="22"/>
      <x:c r="B43" s="22"/>
      <x:c r="C43" s="22"/>
      <x:c r="D43" s="22"/>
      <x:c r="E43" s="30"/>
      <x:c r="F43" s="22"/>
      <x:c r="G43" s="22"/>
      <x:c r="H43" s="22"/>
      <x:c r="I43" s="28"/>
    </x:row>
    <x:row r="44">
      <x:c r="A44" s="22"/>
      <x:c r="B44" s="22"/>
      <x:c r="C44" s="22"/>
      <x:c r="D44" s="22"/>
      <x:c r="E44" s="30"/>
      <x:c r="F44" s="22"/>
      <x:c r="G44" s="22"/>
      <x:c r="H44" s="22"/>
      <x:c r="I44" s="28"/>
    </x:row>
    <x:row r="45">
      <x:c r="A45" s="22"/>
      <x:c r="B45" s="22"/>
      <x:c r="C45" s="22"/>
      <x:c r="D45" s="22"/>
      <x:c r="E45" s="30"/>
      <x:c r="F45" s="22"/>
      <x:c r="G45" s="22"/>
      <x:c r="H45" s="22"/>
      <x:c r="I45" s="28"/>
    </x:row>
    <x:row r="46">
      <x:c r="A46" s="22"/>
      <x:c r="B46" s="22"/>
      <x:c r="C46" s="22"/>
      <x:c r="D46" s="22"/>
      <x:c r="E46" s="30"/>
      <x:c r="F46" s="22"/>
      <x:c r="G46" s="22"/>
      <x:c r="H46" s="22"/>
      <x:c r="I46" s="28"/>
    </x:row>
    <x:row r="47">
      <x:c r="A47" s="22"/>
      <x:c r="B47" s="22"/>
      <x:c r="C47" s="22"/>
      <x:c r="D47" s="22"/>
      <x:c r="E47" s="30"/>
      <x:c r="F47" s="22"/>
      <x:c r="G47" s="22"/>
      <x:c r="H47" s="22"/>
      <x:c r="I47" s="28"/>
    </x:row>
    <x:row r="48">
      <x:c r="A48" s="22"/>
      <x:c r="B48" s="22"/>
      <x:c r="C48" s="22"/>
      <x:c r="D48" s="22"/>
      <x:c r="E48" s="30"/>
      <x:c r="F48" s="22"/>
      <x:c r="G48" s="22"/>
      <x:c r="H48" s="22"/>
      <x:c r="I48" s="28"/>
    </x:row>
    <x:row r="49" ht="15">
      <x:c r="A49" s="22" t="s">
        <x:v>134</x:v>
      </x:c>
      <x:c r="B49" s="22" t="s">
        <x:v>133</x:v>
      </x:c>
      <x:c r="C49" s="22" t="s">
        <x:v>135</x:v>
      </x:c>
      <x:c r="D49" s="21" t="s">
        <x:v>26</x:v>
      </x:c>
      <x:c r="E49" s="30">
        <x:v>10</x:v>
      </x:c>
      <x:c r="F49" s="21" t="s">
        <x:v>27</x:v>
      </x:c>
      <x:c r="G49" s="21">
        <x:v>100</x:v>
      </x:c>
      <x:c r="H49" s="21">
        <x:v>0</x:v>
      </x:c>
      <x:c r="I49" s="28" t="s">
        <x:v>136</x:v>
      </x:c>
    </x:row>
    <x:row r="50" ht="15">
      <x:c r="A50" s="22" t="s">
        <x:v>134</x:v>
      </x:c>
      <x:c r="B50" s="22" t="s">
        <x:v>137</x:v>
      </x:c>
      <x:c r="C50" s="22" t="s">
        <x:v>135</x:v>
      </x:c>
      <x:c r="D50" s="21" t="s">
        <x:v>26</x:v>
      </x:c>
      <x:c r="E50" s="30">
        <x:v>12</x:v>
      </x:c>
      <x:c r="F50" s="21" t="s">
        <x:v>27</x:v>
      </x:c>
      <x:c r="G50" s="21">
        <x:v>100</x:v>
      </x:c>
      <x:c r="H50" s="21">
        <x:v>0</x:v>
      </x:c>
      <x:c r="I50" s="28" t="s">
        <x:v>136</x:v>
      </x:c>
    </x:row>
    <x:row r="51" ht="15">
      <x:c r="A51" s="22" t="s">
        <x:v>134</x:v>
      </x:c>
      <x:c r="B51" s="22" t="s">
        <x:v>138</x:v>
      </x:c>
      <x:c r="C51" s="22" t="s">
        <x:v>135</x:v>
      </x:c>
      <x:c r="D51" s="21" t="s">
        <x:v>26</x:v>
      </x:c>
      <x:c r="E51" s="30">
        <x:v>15</x:v>
      </x:c>
      <x:c r="F51" s="21" t="s">
        <x:v>27</x:v>
      </x:c>
      <x:c r="G51" s="21">
        <x:v>100</x:v>
      </x:c>
      <x:c r="H51" s="21">
        <x:v>0</x:v>
      </x:c>
      <x:c r="I51" s="28" t="s">
        <x:v>136</x:v>
      </x:c>
    </x:row>
    <x:row r="52" ht="15">
      <x:c r="A52" s="22" t="s">
        <x:v>134</x:v>
      </x:c>
      <x:c r="B52" s="22" t="s">
        <x:v>139</x:v>
      </x:c>
      <x:c r="C52" s="22" t="s">
        <x:v>135</x:v>
      </x:c>
      <x:c r="D52" s="21" t="s">
        <x:v>26</x:v>
      </x:c>
      <x:c r="E52" s="30">
        <x:v>20</x:v>
      </x:c>
      <x:c r="F52" s="21" t="s">
        <x:v>27</x:v>
      </x:c>
      <x:c r="G52" s="21">
        <x:v>100</x:v>
      </x:c>
      <x:c r="H52" s="21">
        <x:v>0</x:v>
      </x:c>
      <x:c r="I52" s="28" t="s">
        <x:v>136</x:v>
      </x:c>
    </x:row>
    <x:row r="53" ht="15">
      <x:c r="A53" s="22" t="s">
        <x:v>134</x:v>
      </x:c>
      <x:c r="B53" s="22" t="s">
        <x:v>140</x:v>
      </x:c>
      <x:c r="C53" s="22" t="s">
        <x:v>135</x:v>
      </x:c>
      <x:c r="D53" s="21" t="s">
        <x:v>26</x:v>
      </x:c>
      <x:c r="E53" s="30">
        <x:v>28</x:v>
      </x:c>
      <x:c r="F53" s="21" t="s">
        <x:v>27</x:v>
      </x:c>
      <x:c r="G53" s="21">
        <x:v>100</x:v>
      </x:c>
      <x:c r="H53" s="21">
        <x:v>0</x:v>
      </x:c>
      <x:c r="I53" s="28" t="s">
        <x:v>136</x:v>
      </x:c>
    </x:row>
    <x:row r="54" ht="15">
      <x:c r="A54" s="22" t="s">
        <x:v>134</x:v>
      </x:c>
      <x:c r="B54" s="22" t="s">
        <x:v>141</x:v>
      </x:c>
      <x:c r="C54" s="22" t="s">
        <x:v>135</x:v>
      </x:c>
      <x:c r="D54" s="21" t="s">
        <x:v>26</x:v>
      </x:c>
      <x:c r="E54" s="30">
        <x:v>38</x:v>
      </x:c>
      <x:c r="F54" s="21" t="s">
        <x:v>27</x:v>
      </x:c>
      <x:c r="G54" s="21">
        <x:v>100</x:v>
      </x:c>
      <x:c r="H54" s="21">
        <x:v>0</x:v>
      </x:c>
      <x:c r="I54" s="28" t="s">
        <x:v>136</x:v>
      </x:c>
    </x:row>
    <x:row r="55" ht="15">
      <x:c r="A55" s="22" t="s">
        <x:v>134</x:v>
      </x:c>
      <x:c r="B55" s="22" t="s">
        <x:v>142</x:v>
      </x:c>
      <x:c r="C55" s="22" t="s">
        <x:v>135</x:v>
      </x:c>
      <x:c r="D55" s="21" t="s">
        <x:v>26</x:v>
      </x:c>
      <x:c r="E55" s="30">
        <x:v>49.5</x:v>
      </x:c>
      <x:c r="F55" s="21" t="s">
        <x:v>27</x:v>
      </x:c>
      <x:c r="G55" s="21">
        <x:v>100</x:v>
      </x:c>
      <x:c r="H55" s="21">
        <x:v>0</x:v>
      </x:c>
      <x:c r="I55" s="28" t="s">
        <x:v>136</x:v>
      </x:c>
    </x:row>
    <x:row r="56" ht="15">
      <x:c r="A56" s="22" t="s">
        <x:v>134</x:v>
      </x:c>
      <x:c r="B56" s="22" t="s">
        <x:v>143</x:v>
      </x:c>
      <x:c r="C56" s="22" t="s">
        <x:v>135</x:v>
      </x:c>
      <x:c r="D56" s="21" t="s">
        <x:v>26</x:v>
      </x:c>
      <x:c r="E56" s="30">
        <x:v>62</x:v>
      </x:c>
      <x:c r="F56" s="21" t="s">
        <x:v>27</x:v>
      </x:c>
      <x:c r="G56" s="21">
        <x:v>100</x:v>
      </x:c>
      <x:c r="H56" s="21">
        <x:v>0</x:v>
      </x:c>
      <x:c r="I56" s="28" t="s">
        <x:v>136</x:v>
      </x:c>
    </x:row>
    <x:row r="57" ht="15">
      <x:c r="A57" s="22" t="s">
        <x:v>134</x:v>
      </x:c>
      <x:c r="B57" s="22" t="s">
        <x:v>144</x:v>
      </x:c>
      <x:c r="C57" s="22" t="s">
        <x:v>135</x:v>
      </x:c>
      <x:c r="D57" s="21" t="s">
        <x:v>26</x:v>
      </x:c>
      <x:c r="E57" s="30">
        <x:v>85</x:v>
      </x:c>
      <x:c r="F57" s="21" t="s">
        <x:v>27</x:v>
      </x:c>
      <x:c r="G57" s="21">
        <x:v>100</x:v>
      </x:c>
      <x:c r="H57" s="21">
        <x:v>0</x:v>
      </x:c>
      <x:c r="I57" s="28" t="s">
        <x:v>136</x:v>
      </x:c>
    </x:row>
    <x:row r="58" ht="15">
      <x:c r="A58" s="22" t="s">
        <x:v>134</x:v>
      </x:c>
      <x:c r="B58" s="22" t="s">
        <x:v>145</x:v>
      </x:c>
      <x:c r="C58" s="22" t="s">
        <x:v>135</x:v>
      </x:c>
      <x:c r="D58" s="21" t="s">
        <x:v>26</x:v>
      </x:c>
      <x:c r="E58" s="30">
        <x:v>112</x:v>
      </x:c>
      <x:c r="F58" s="21" t="s">
        <x:v>27</x:v>
      </x:c>
      <x:c r="G58" s="21">
        <x:v>100</x:v>
      </x:c>
      <x:c r="H58" s="21">
        <x:v>0</x:v>
      </x:c>
      <x:c r="I58" s="28" t="s">
        <x:v>136</x:v>
      </x:c>
    </x:row>
    <x:row r="59" ht="15">
      <x:c r="A59" s="22" t="s">
        <x:v>134</x:v>
      </x:c>
      <x:c r="B59" s="22" t="s">
        <x:v>146</x:v>
      </x:c>
      <x:c r="C59" s="22" t="s">
        <x:v>135</x:v>
      </x:c>
      <x:c r="D59" s="21" t="s">
        <x:v>26</x:v>
      </x:c>
      <x:c r="E59" s="30">
        <x:v>143</x:v>
      </x:c>
      <x:c r="F59" s="21" t="s">
        <x:v>27</x:v>
      </x:c>
      <x:c r="G59" s="21">
        <x:v>100</x:v>
      </x:c>
      <x:c r="H59" s="21">
        <x:v>0</x:v>
      </x:c>
      <x:c r="I59" s="28" t="s">
        <x:v>136</x:v>
      </x:c>
    </x:row>
    <x:row r="60" ht="15">
      <x:c r="A60" s="22"/>
      <x:c r="B60" s="22"/>
      <x:c r="C60" s="22"/>
      <x:c r="D60" s="21"/>
      <x:c r="E60" s="30"/>
      <x:c r="F60" s="22"/>
      <x:c r="G60" s="22"/>
      <x:c r="H60" s="22"/>
      <x:c r="I60" s="28"/>
    </x:row>
    <x:row r="61" ht="15">
      <x:c r="A61" s="22"/>
      <x:c r="B61" s="22"/>
      <x:c r="C61" s="22"/>
      <x:c r="D61" s="21"/>
      <x:c r="E61" s="30"/>
      <x:c r="F61" s="22"/>
      <x:c r="G61" s="22"/>
      <x:c r="H61" s="22"/>
      <x:c r="I61" s="28"/>
    </x:row>
    <x:row r="62" ht="15">
      <x:c r="A62" s="22"/>
      <x:c r="B62" s="22"/>
      <x:c r="C62" s="22"/>
      <x:c r="D62" s="21"/>
      <x:c r="E62" s="30"/>
      <x:c r="F62" s="22"/>
      <x:c r="G62" s="22"/>
      <x:c r="H62" s="22"/>
      <x:c r="I62" s="28"/>
    </x:row>
    <x:row r="63" ht="15">
      <x:c r="A63" s="22"/>
      <x:c r="B63" s="22"/>
      <x:c r="C63" s="22"/>
      <x:c r="D63" s="21"/>
      <x:c r="E63" s="30"/>
      <x:c r="F63" s="22"/>
      <x:c r="G63" s="22"/>
      <x:c r="H63" s="22"/>
      <x:c r="I63" s="28"/>
    </x:row>
    <x:row r="64" ht="15">
      <x:c r="A64" s="22"/>
      <x:c r="B64" s="22"/>
      <x:c r="C64" s="22"/>
      <x:c r="D64" s="21"/>
      <x:c r="E64" s="30"/>
      <x:c r="F64" s="22"/>
      <x:c r="G64" s="22"/>
      <x:c r="H64" s="22"/>
      <x:c r="I64" s="28"/>
    </x:row>
    <x:row r="65" ht="15">
      <x:c r="A65" s="22"/>
      <x:c r="B65" s="22"/>
      <x:c r="C65" s="22"/>
      <x:c r="D65" s="21"/>
      <x:c r="E65" s="30"/>
      <x:c r="F65" s="22"/>
      <x:c r="G65" s="22"/>
      <x:c r="H65" s="22"/>
      <x:c r="I65" s="28"/>
    </x:row>
    <x:row r="66" ht="15">
      <x:c r="A66" s="22"/>
      <x:c r="B66" s="22"/>
      <x:c r="C66" s="22"/>
      <x:c r="D66" s="21"/>
      <x:c r="E66" s="30"/>
      <x:c r="F66" s="22"/>
      <x:c r="G66" s="22"/>
      <x:c r="H66" s="22"/>
      <x:c r="I66" s="28"/>
    </x:row>
    <x:row r="67" ht="15">
      <x:c r="A67" s="22"/>
      <x:c r="B67" s="22"/>
      <x:c r="C67" s="22"/>
      <x:c r="D67" s="21"/>
      <x:c r="E67" s="30"/>
      <x:c r="F67" s="22"/>
      <x:c r="G67" s="22"/>
      <x:c r="H67" s="22"/>
      <x:c r="I67" s="28"/>
    </x:row>
    <x:row r="68" ht="15">
      <x:c r="A68" s="22" t="s">
        <x:v>147</x:v>
      </x:c>
      <x:c r="B68" s="22" t="s">
        <x:v>139</x:v>
      </x:c>
      <x:c r="C68" s="22" t="s">
        <x:v>135</x:v>
      </x:c>
      <x:c r="D68" s="21" t="s">
        <x:v>26</x:v>
      </x:c>
      <x:c r="E68" s="30">
        <x:v>8</x:v>
      </x:c>
      <x:c r="F68" s="21" t="s">
        <x:v>27</x:v>
      </x:c>
      <x:c r="G68" s="21">
        <x:v>100</x:v>
      </x:c>
      <x:c r="H68" s="21">
        <x:v>0</x:v>
      </x:c>
      <x:c r="I68" s="28" t="s">
        <x:v>148</x:v>
      </x:c>
    </x:row>
    <x:row r="69" ht="15">
      <x:c r="A69" s="22" t="s">
        <x:v>147</x:v>
      </x:c>
      <x:c r="B69" s="22" t="s">
        <x:v>140</x:v>
      </x:c>
      <x:c r="C69" s="22" t="s">
        <x:v>135</x:v>
      </x:c>
      <x:c r="D69" s="21" t="s">
        <x:v>26</x:v>
      </x:c>
      <x:c r="E69" s="30">
        <x:v>10</x:v>
      </x:c>
      <x:c r="F69" s="21" t="s">
        <x:v>27</x:v>
      </x:c>
      <x:c r="G69" s="21">
        <x:v>100</x:v>
      </x:c>
      <x:c r="H69" s="21">
        <x:v>0</x:v>
      </x:c>
      <x:c r="I69" s="28" t="s">
        <x:v>148</x:v>
      </x:c>
    </x:row>
    <x:row r="70" ht="15">
      <x:c r="A70" s="22" t="s">
        <x:v>147</x:v>
      </x:c>
      <x:c r="B70" s="22" t="s">
        <x:v>141</x:v>
      </x:c>
      <x:c r="C70" s="22" t="s">
        <x:v>135</x:v>
      </x:c>
      <x:c r="D70" s="21" t="s">
        <x:v>26</x:v>
      </x:c>
      <x:c r="E70" s="30">
        <x:v>12</x:v>
      </x:c>
      <x:c r="F70" s="21" t="s">
        <x:v>27</x:v>
      </x:c>
      <x:c r="G70" s="21">
        <x:v>100</x:v>
      </x:c>
      <x:c r="H70" s="21">
        <x:v>0</x:v>
      </x:c>
      <x:c r="I70" s="28" t="s">
        <x:v>148</x:v>
      </x:c>
    </x:row>
    <x:row r="71" ht="15">
      <x:c r="A71" s="22" t="s">
        <x:v>147</x:v>
      </x:c>
      <x:c r="B71" s="22" t="s">
        <x:v>142</x:v>
      </x:c>
      <x:c r="C71" s="22" t="s">
        <x:v>135</x:v>
      </x:c>
      <x:c r="D71" s="21" t="s">
        <x:v>26</x:v>
      </x:c>
      <x:c r="E71" s="30">
        <x:v>15</x:v>
      </x:c>
      <x:c r="F71" s="21" t="s">
        <x:v>27</x:v>
      </x:c>
      <x:c r="G71" s="21">
        <x:v>100</x:v>
      </x:c>
      <x:c r="H71" s="21">
        <x:v>0</x:v>
      </x:c>
      <x:c r="I71" s="28" t="s">
        <x:v>148</x:v>
      </x:c>
    </x:row>
    <x:row r="72" ht="15">
      <x:c r="A72" s="22" t="s">
        <x:v>147</x:v>
      </x:c>
      <x:c r="B72" s="22" t="s">
        <x:v>143</x:v>
      </x:c>
      <x:c r="C72" s="22" t="s">
        <x:v>135</x:v>
      </x:c>
      <x:c r="D72" s="21" t="s">
        <x:v>26</x:v>
      </x:c>
      <x:c r="E72" s="30" t="n">
        <x:f>E8*0.75</x:f>
        <x:v>18</x:v>
      </x:c>
      <x:c r="F72" s="21" t="s">
        <x:v>27</x:v>
      </x:c>
      <x:c r="G72" s="21">
        <x:v>100</x:v>
      </x:c>
      <x:c r="H72" s="21">
        <x:v>0</x:v>
      </x:c>
      <x:c r="I72" s="28" t="s">
        <x:v>148</x:v>
      </x:c>
    </x:row>
    <x:row r="73" ht="15">
      <x:c r="A73" s="22" t="s">
        <x:v>147</x:v>
      </x:c>
      <x:c r="B73" s="22" t="s">
        <x:v>144</x:v>
      </x:c>
      <x:c r="C73" s="22" t="s">
        <x:v>135</x:v>
      </x:c>
      <x:c r="D73" s="21" t="s">
        <x:v>26</x:v>
      </x:c>
      <x:c r="E73" s="30">
        <x:v>23</x:v>
      </x:c>
      <x:c r="F73" s="21" t="s">
        <x:v>27</x:v>
      </x:c>
      <x:c r="G73" s="21">
        <x:v>100</x:v>
      </x:c>
      <x:c r="H73" s="21">
        <x:v>0</x:v>
      </x:c>
      <x:c r="I73" s="28" t="s">
        <x:v>148</x:v>
      </x:c>
    </x:row>
    <x:row r="74" ht="15">
      <x:c r="A74" s="22" t="s">
        <x:v>147</x:v>
      </x:c>
      <x:c r="B74" s="22" t="s">
        <x:v>145</x:v>
      </x:c>
      <x:c r="C74" s="22" t="s">
        <x:v>135</x:v>
      </x:c>
      <x:c r="D74" s="21" t="s">
        <x:v>26</x:v>
      </x:c>
      <x:c r="E74" s="30">
        <x:v>29</x:v>
      </x:c>
      <x:c r="F74" s="21" t="s">
        <x:v>27</x:v>
      </x:c>
      <x:c r="G74" s="21">
        <x:v>100</x:v>
      </x:c>
      <x:c r="H74" s="21">
        <x:v>0</x:v>
      </x:c>
      <x:c r="I74" s="28" t="s">
        <x:v>148</x:v>
      </x:c>
    </x:row>
    <x:row r="75" ht="15">
      <x:c r="A75" s="22" t="s">
        <x:v>147</x:v>
      </x:c>
      <x:c r="B75" s="22" t="s">
        <x:v>146</x:v>
      </x:c>
      <x:c r="C75" s="22" t="s">
        <x:v>135</x:v>
      </x:c>
      <x:c r="D75" s="21" t="s">
        <x:v>26</x:v>
      </x:c>
      <x:c r="E75" s="30">
        <x:v>32</x:v>
      </x:c>
      <x:c r="F75" s="21" t="s">
        <x:v>27</x:v>
      </x:c>
      <x:c r="G75" s="21">
        <x:v>100</x:v>
      </x:c>
      <x:c r="H75" s="21">
        <x:v>0</x:v>
      </x:c>
      <x:c r="I75" s="28" t="s">
        <x:v>148</x:v>
      </x:c>
    </x:row>
    <x:row r="76">
      <x:c r="A76" s="22"/>
      <x:c r="B76" s="22"/>
      <x:c r="C76" s="22"/>
      <x:c r="D76" s="22"/>
      <x:c r="E76" s="30"/>
      <x:c r="F76" s="22"/>
      <x:c r="G76" s="22"/>
      <x:c r="H76" s="22"/>
      <x:c r="I76" s="28"/>
    </x:row>
    <x:row r="77" ht="15.449999809265137" customHeight="1">
      <x:c r="A77" s="22"/>
      <x:c r="B77" s="22"/>
      <x:c r="C77" s="22"/>
      <x:c r="D77" s="22"/>
      <x:c r="E77" s="30"/>
      <x:c r="F77" s="22"/>
      <x:c r="G77" s="22"/>
      <x:c r="H77" s="22"/>
      <x:c r="I77" s="28"/>
    </x:row>
    <x:row r="78">
      <x:c r="A78" s="22"/>
      <x:c r="B78" s="22"/>
      <x:c r="C78" s="22"/>
      <x:c r="D78" s="22"/>
      <x:c r="E78" s="30"/>
      <x:c r="F78" s="22"/>
      <x:c r="G78" s="22"/>
      <x:c r="H78" s="22"/>
      <x:c r="I78" s="28"/>
    </x:row>
    <x:row r="79">
      <x:c r="A79" s="22"/>
      <x:c r="B79" s="22"/>
      <x:c r="C79" s="22"/>
      <x:c r="D79" s="22"/>
      <x:c r="E79" s="30"/>
      <x:c r="F79" s="22"/>
      <x:c r="G79" s="22"/>
      <x:c r="H79" s="22"/>
      <x:c r="I79" s="28"/>
    </x:row>
    <x:row r="80">
      <x:c r="A80" s="22"/>
      <x:c r="B80" s="22"/>
      <x:c r="C80" s="22"/>
      <x:c r="D80" s="22"/>
      <x:c r="E80" s="30"/>
      <x:c r="F80" s="22"/>
      <x:c r="G80" s="22"/>
      <x:c r="H80" s="22"/>
      <x:c r="I80" s="28"/>
    </x:row>
    <x:row r="81" ht="15">
      <x:c r="A81" s="22" t="s">
        <x:v>149</x:v>
      </x:c>
      <x:c r="B81" s="21" t="s">
        <x:v>127</x:v>
      </x:c>
      <x:c r="C81" s="22" t="s">
        <x:v>150</x:v>
      </x:c>
      <x:c r="D81" s="22" t="s">
        <x:v>125</x:v>
      </x:c>
      <x:c r="E81" s="26">
        <x:v>0.1</x:v>
      </x:c>
      <x:c r="F81" s="21" t="s">
        <x:v>27</x:v>
      </x:c>
      <x:c r="G81" s="21">
        <x:v>100</x:v>
      </x:c>
      <x:c r="H81" s="21">
        <x:v>0</x:v>
      </x:c>
      <x:c r="I81" s="59" t="s">
        <x:v>151</x:v>
      </x:c>
    </x:row>
    <x:row r="82" ht="15">
      <x:c r="A82" s="22" t="s">
        <x:v>149</x:v>
      </x:c>
      <x:c r="B82" s="22" t="s">
        <x:v>130</x:v>
      </x:c>
      <x:c r="C82" s="22" t="s">
        <x:v>150</x:v>
      </x:c>
      <x:c r="D82" s="22" t="s">
        <x:v>125</x:v>
      </x:c>
      <x:c r="E82" s="26">
        <x:v>0.12</x:v>
      </x:c>
      <x:c r="F82" s="21" t="s">
        <x:v>27</x:v>
      </x:c>
      <x:c r="G82" s="21">
        <x:v>100</x:v>
      </x:c>
      <x:c r="H82" s="21">
        <x:v>0</x:v>
      </x:c>
      <x:c r="I82" s="59" t="s">
        <x:v>151</x:v>
      </x:c>
    </x:row>
    <x:row r="83" ht="15">
      <x:c r="A83" s="22" t="s">
        <x:v>149</x:v>
      </x:c>
      <x:c r="B83" s="22" t="s">
        <x:v>131</x:v>
      </x:c>
      <x:c r="C83" s="22" t="s">
        <x:v>150</x:v>
      </x:c>
      <x:c r="D83" s="22" t="s">
        <x:v>125</x:v>
      </x:c>
      <x:c r="E83" s="26">
        <x:v>0.16</x:v>
      </x:c>
      <x:c r="F83" s="21" t="s">
        <x:v>27</x:v>
      </x:c>
      <x:c r="G83" s="21">
        <x:v>100</x:v>
      </x:c>
      <x:c r="H83" s="21">
        <x:v>0</x:v>
      </x:c>
      <x:c r="I83" s="59" t="s">
        <x:v>151</x:v>
      </x:c>
    </x:row>
    <x:row r="84" ht="15">
      <x:c r="A84" s="22" t="s">
        <x:v>149</x:v>
      </x:c>
      <x:c r="B84" s="22" t="s">
        <x:v>132</x:v>
      </x:c>
      <x:c r="C84" s="22" t="s">
        <x:v>150</x:v>
      </x:c>
      <x:c r="D84" s="22" t="s">
        <x:v>125</x:v>
      </x:c>
      <x:c r="E84" s="26">
        <x:v>0.2</x:v>
      </x:c>
      <x:c r="F84" s="21" t="s">
        <x:v>27</x:v>
      </x:c>
      <x:c r="G84" s="21">
        <x:v>100</x:v>
      </x:c>
      <x:c r="H84" s="21">
        <x:v>0</x:v>
      </x:c>
      <x:c r="I84" s="59" t="s">
        <x:v>151</x:v>
      </x:c>
    </x:row>
    <x:row r="85" ht="15">
      <x:c r="A85" s="22" t="s">
        <x:v>149</x:v>
      </x:c>
      <x:c r="B85" s="22" t="s">
        <x:v>133</x:v>
      </x:c>
      <x:c r="C85" s="22" t="s">
        <x:v>150</x:v>
      </x:c>
      <x:c r="D85" s="22" t="s">
        <x:v>125</x:v>
      </x:c>
      <x:c r="E85" s="26">
        <x:v>0.28000000000000003</x:v>
      </x:c>
      <x:c r="F85" s="21" t="s">
        <x:v>27</x:v>
      </x:c>
      <x:c r="G85" s="21">
        <x:v>100</x:v>
      </x:c>
      <x:c r="H85" s="21">
        <x:v>0</x:v>
      </x:c>
      <x:c r="I85" s="59" t="s">
        <x:v>151</x:v>
      </x:c>
    </x:row>
    <x:row r="86" ht="15">
      <x:c r="A86" s="22" t="s">
        <x:v>149</x:v>
      </x:c>
      <x:c r="B86" s="21" t="s">
        <x:v>127</x:v>
      </x:c>
      <x:c r="C86" s="22" t="s">
        <x:v>152</x:v>
      </x:c>
      <x:c r="D86" s="22" t="s">
        <x:v>125</x:v>
      </x:c>
      <x:c r="E86" s="26">
        <x:v>0.12</x:v>
      </x:c>
      <x:c r="F86" s="21" t="s">
        <x:v>27</x:v>
      </x:c>
      <x:c r="G86" s="21">
        <x:v>100</x:v>
      </x:c>
      <x:c r="H86" s="21">
        <x:v>0</x:v>
      </x:c>
      <x:c r="I86" s="59" t="s">
        <x:v>151</x:v>
      </x:c>
    </x:row>
    <x:row r="87" ht="15">
      <x:c r="A87" s="22" t="s">
        <x:v>149</x:v>
      </x:c>
      <x:c r="B87" s="22" t="s">
        <x:v>130</x:v>
      </x:c>
      <x:c r="C87" s="22" t="s">
        <x:v>152</x:v>
      </x:c>
      <x:c r="D87" s="22" t="s">
        <x:v>125</x:v>
      </x:c>
      <x:c r="E87" s="26">
        <x:v>0.14000000000000001</x:v>
      </x:c>
      <x:c r="F87" s="21" t="s">
        <x:v>27</x:v>
      </x:c>
      <x:c r="G87" s="21">
        <x:v>100</x:v>
      </x:c>
      <x:c r="H87" s="21">
        <x:v>0</x:v>
      </x:c>
      <x:c r="I87" s="59" t="s">
        <x:v>151</x:v>
      </x:c>
    </x:row>
    <x:row r="88" ht="15">
      <x:c r="A88" s="22" t="s">
        <x:v>149</x:v>
      </x:c>
      <x:c r="B88" s="22" t="s">
        <x:v>131</x:v>
      </x:c>
      <x:c r="C88" s="22" t="s">
        <x:v>152</x:v>
      </x:c>
      <x:c r="D88" s="22" t="s">
        <x:v>125</x:v>
      </x:c>
      <x:c r="E88" s="26">
        <x:v>0.18</x:v>
      </x:c>
      <x:c r="F88" s="21" t="s">
        <x:v>27</x:v>
      </x:c>
      <x:c r="G88" s="21">
        <x:v>100</x:v>
      </x:c>
      <x:c r="H88" s="21">
        <x:v>0</x:v>
      </x:c>
      <x:c r="I88" s="59" t="s">
        <x:v>151</x:v>
      </x:c>
    </x:row>
    <x:row r="89" ht="15">
      <x:c r="A89" s="22" t="s">
        <x:v>149</x:v>
      </x:c>
      <x:c r="B89" s="22" t="s">
        <x:v>132</x:v>
      </x:c>
      <x:c r="C89" s="22" t="s">
        <x:v>152</x:v>
      </x:c>
      <x:c r="D89" s="22" t="s">
        <x:v>125</x:v>
      </x:c>
      <x:c r="E89" s="26">
        <x:v>0.24</x:v>
      </x:c>
      <x:c r="F89" s="21" t="s">
        <x:v>27</x:v>
      </x:c>
      <x:c r="G89" s="21">
        <x:v>100</x:v>
      </x:c>
      <x:c r="H89" s="21">
        <x:v>0</x:v>
      </x:c>
      <x:c r="I89" s="59" t="s">
        <x:v>151</x:v>
      </x:c>
    </x:row>
    <x:row r="90" ht="15">
      <x:c r="A90" s="22" t="s">
        <x:v>149</x:v>
      </x:c>
      <x:c r="B90" s="22" t="s">
        <x:v>133</x:v>
      </x:c>
      <x:c r="C90" s="22" t="s">
        <x:v>152</x:v>
      </x:c>
      <x:c r="D90" s="22" t="s">
        <x:v>125</x:v>
      </x:c>
      <x:c r="E90" s="26">
        <x:v>0.32</x:v>
      </x:c>
      <x:c r="F90" s="21" t="s">
        <x:v>27</x:v>
      </x:c>
      <x:c r="G90" s="21">
        <x:v>100</x:v>
      </x:c>
      <x:c r="H90" s="21">
        <x:v>0</x:v>
      </x:c>
      <x:c r="I90" s="59" t="s">
        <x:v>151</x:v>
      </x:c>
    </x:row>
    <x:row r="91">
      <x:c r="A91" s="22"/>
      <x:c r="B91" s="22"/>
      <x:c r="C91" s="22"/>
      <x:c r="D91" s="22"/>
      <x:c r="E91" s="30"/>
      <x:c r="F91" s="22"/>
      <x:c r="G91" s="22"/>
      <x:c r="H91" s="22"/>
      <x:c r="I91" s="28"/>
    </x:row>
    <x:row r="92">
      <x:c r="A92" s="22"/>
      <x:c r="B92" s="22"/>
      <x:c r="C92" s="22"/>
      <x:c r="D92" s="22"/>
      <x:c r="E92" s="30"/>
      <x:c r="F92" s="22"/>
      <x:c r="G92" s="22"/>
      <x:c r="H92" s="22"/>
      <x:c r="I92" s="28"/>
    </x:row>
    <x:row r="93">
      <x:c r="A93" s="22"/>
      <x:c r="B93" s="22"/>
      <x:c r="C93" s="22"/>
      <x:c r="D93" s="22"/>
      <x:c r="E93" s="30"/>
      <x:c r="F93" s="22"/>
      <x:c r="G93" s="22"/>
      <x:c r="H93" s="22"/>
      <x:c r="I93" s="28"/>
    </x:row>
    <x:row r="94">
      <x:c r="A94" s="22"/>
      <x:c r="B94" s="22"/>
      <x:c r="C94" s="22"/>
      <x:c r="D94" s="22"/>
      <x:c r="E94" s="30"/>
      <x:c r="F94" s="22"/>
      <x:c r="G94" s="22"/>
      <x:c r="H94" s="22"/>
      <x:c r="I94" s="28"/>
    </x:row>
    <x:row r="95">
      <x:c r="A95" s="22"/>
      <x:c r="B95" s="22"/>
      <x:c r="C95" s="22"/>
      <x:c r="D95" s="22"/>
      <x:c r="E95" s="30"/>
      <x:c r="F95" s="22"/>
      <x:c r="G95" s="22"/>
      <x:c r="H95" s="22"/>
      <x:c r="I95" s="28"/>
    </x:row>
    <x:row r="96" ht="15">
      <x:c r="A96" s="22" t="s">
        <x:v>153</x:v>
      </x:c>
      <x:c r="B96" s="60" t="s">
        <x:v>154</x:v>
      </x:c>
      <x:c r="C96" s="22" t="s">
        <x:v>150</x:v>
      </x:c>
      <x:c r="D96" s="22" t="s">
        <x:v>125</x:v>
      </x:c>
      <x:c r="E96" s="26">
        <x:v>0.9</x:v>
      </x:c>
      <x:c r="F96" s="21" t="s">
        <x:v>27</x:v>
      </x:c>
      <x:c r="G96" s="21">
        <x:v>100</x:v>
      </x:c>
      <x:c r="H96" s="21">
        <x:v>0</x:v>
      </x:c>
      <x:c r="I96" s="28" t="s">
        <x:v>155</x:v>
      </x:c>
    </x:row>
    <x:row r="97" ht="15">
      <x:c r="A97" s="22" t="s">
        <x:v>153</x:v>
      </x:c>
      <x:c r="B97" s="60" t="s">
        <x:v>156</x:v>
      </x:c>
      <x:c r="C97" s="22" t="s">
        <x:v>150</x:v>
      </x:c>
      <x:c r="D97" s="22" t="s">
        <x:v>125</x:v>
      </x:c>
      <x:c r="E97" s="26">
        <x:v>1.3</x:v>
      </x:c>
      <x:c r="F97" s="21" t="s">
        <x:v>27</x:v>
      </x:c>
      <x:c r="G97" s="21">
        <x:v>100</x:v>
      </x:c>
      <x:c r="H97" s="21">
        <x:v>0</x:v>
      </x:c>
      <x:c r="I97" s="28" t="s">
        <x:v>155</x:v>
      </x:c>
    </x:row>
    <x:row r="98" ht="15">
      <x:c r="A98" s="22" t="s">
        <x:v>153</x:v>
      </x:c>
      <x:c r="B98" s="60" t="s">
        <x:v>154</x:v>
      </x:c>
      <x:c r="C98" s="22" t="s">
        <x:v>152</x:v>
      </x:c>
      <x:c r="D98" s="22" t="s">
        <x:v>125</x:v>
      </x:c>
      <x:c r="E98" s="26">
        <x:v>1.1000000000000001</x:v>
      </x:c>
      <x:c r="F98" s="21" t="s">
        <x:v>27</x:v>
      </x:c>
      <x:c r="G98" s="21">
        <x:v>100</x:v>
      </x:c>
      <x:c r="H98" s="21">
        <x:v>0</x:v>
      </x:c>
      <x:c r="I98" s="28" t="s">
        <x:v>155</x:v>
      </x:c>
    </x:row>
    <x:row r="99" ht="15">
      <x:c r="A99" s="22" t="s">
        <x:v>153</x:v>
      </x:c>
      <x:c r="B99" s="60" t="s">
        <x:v>156</x:v>
      </x:c>
      <x:c r="C99" s="22" t="s">
        <x:v>152</x:v>
      </x:c>
      <x:c r="D99" s="22" t="s">
        <x:v>125</x:v>
      </x:c>
      <x:c r="E99" s="26">
        <x:v>1.5</x:v>
      </x:c>
      <x:c r="F99" s="21" t="s">
        <x:v>27</x:v>
      </x:c>
      <x:c r="G99" s="21">
        <x:v>100</x:v>
      </x:c>
      <x:c r="H99" s="21">
        <x:v>0</x:v>
      </x:c>
      <x:c r="I99" s="28" t="s">
        <x:v>155</x:v>
      </x:c>
    </x:row>
    <x:row r="100">
      <x:c r="A100" s="22"/>
      <x:c r="B100" s="22"/>
      <x:c r="C100" s="22"/>
      <x:c r="D100" s="22"/>
      <x:c r="E100" s="30"/>
      <x:c r="F100" s="22"/>
      <x:c r="G100" s="22"/>
      <x:c r="H100" s="22"/>
      <x:c r="I100" s="28"/>
    </x:row>
    <x:row r="101">
      <x:c r="A101" s="22"/>
      <x:c r="B101" s="22"/>
      <x:c r="C101" s="22"/>
      <x:c r="D101" s="22"/>
      <x:c r="E101" s="30"/>
      <x:c r="F101" s="22"/>
      <x:c r="G101" s="22"/>
      <x:c r="H101" s="22"/>
      <x:c r="I101" s="28"/>
    </x:row>
    <x:row r="102">
      <x:c r="A102" s="22"/>
      <x:c r="B102" s="22"/>
      <x:c r="C102" s="22"/>
      <x:c r="D102" s="22"/>
      <x:c r="E102" s="30"/>
      <x:c r="F102" s="22"/>
      <x:c r="G102" s="22"/>
      <x:c r="H102" s="22"/>
      <x:c r="I102" s="28"/>
    </x:row>
    <x:row r="103" ht="15">
      <x:c r="A103" s="22" t="s">
        <x:v>157</x:v>
      </x:c>
      <x:c r="B103" s="22" t="s">
        <x:v>158</x:v>
      </x:c>
      <x:c r="C103" s="22" t="s">
        <x:v>159</x:v>
      </x:c>
      <x:c r="D103" s="22" t="s">
        <x:v>125</x:v>
      </x:c>
      <x:c r="E103" s="26">
        <x:v>0.12</x:v>
      </x:c>
      <x:c r="F103" s="21" t="s">
        <x:v>27</x:v>
      </x:c>
      <x:c r="G103" s="21">
        <x:v>100</x:v>
      </x:c>
      <x:c r="H103" s="21">
        <x:v>0</x:v>
      </x:c>
      <x:c r="I103" s="28" t="s">
        <x:v>160</x:v>
      </x:c>
    </x:row>
    <x:row r="104" ht="15">
      <x:c r="A104" s="22" t="s">
        <x:v>157</x:v>
      </x:c>
      <x:c r="B104" s="22" t="s">
        <x:v>161</x:v>
      </x:c>
      <x:c r="C104" s="22" t="s">
        <x:v>159</x:v>
      </x:c>
      <x:c r="D104" s="22" t="s">
        <x:v>125</x:v>
      </x:c>
      <x:c r="E104" s="26">
        <x:v>0.2</x:v>
      </x:c>
      <x:c r="F104" s="21" t="s">
        <x:v>27</x:v>
      </x:c>
      <x:c r="G104" s="21">
        <x:v>100</x:v>
      </x:c>
      <x:c r="H104" s="21">
        <x:v>0</x:v>
      </x:c>
      <x:c r="I104" s="28" t="s">
        <x:v>160</x:v>
      </x:c>
    </x:row>
    <x:row r="105" ht="15">
      <x:c r="A105" s="22" t="s">
        <x:v>157</x:v>
      </x:c>
      <x:c r="B105" s="22" t="s">
        <x:v>162</x:v>
      </x:c>
      <x:c r="C105" s="22" t="s">
        <x:v>159</x:v>
      </x:c>
      <x:c r="D105" s="22" t="s">
        <x:v>125</x:v>
      </x:c>
      <x:c r="E105" s="26">
        <x:v>0.38</x:v>
      </x:c>
      <x:c r="F105" s="21" t="s">
        <x:v>27</x:v>
      </x:c>
      <x:c r="G105" s="21">
        <x:v>100</x:v>
      </x:c>
      <x:c r="H105" s="21">
        <x:v>0</x:v>
      </x:c>
      <x:c r="I105" s="28" t="s">
        <x:v>160</x:v>
      </x:c>
    </x:row>
    <x:row r="106" ht="15">
      <x:c r="A106" s="22" t="s">
        <x:v>157</x:v>
      </x:c>
      <x:c r="B106" s="22" t="s">
        <x:v>163</x:v>
      </x:c>
      <x:c r="C106" s="22" t="s">
        <x:v>159</x:v>
      </x:c>
      <x:c r="D106" s="22" t="s">
        <x:v>125</x:v>
      </x:c>
      <x:c r="E106" s="26">
        <x:v>0.95</x:v>
      </x:c>
      <x:c r="F106" s="21" t="s">
        <x:v>27</x:v>
      </x:c>
      <x:c r="G106" s="21">
        <x:v>100</x:v>
      </x:c>
      <x:c r="H106" s="21">
        <x:v>0</x:v>
      </x:c>
      <x:c r="I106" s="28" t="s">
        <x:v>160</x:v>
      </x:c>
    </x:row>
    <x:row r="107">
      <x:c r="A107" s="22"/>
      <x:c r="B107" s="22"/>
      <x:c r="C107" s="22"/>
      <x:c r="D107" s="22"/>
      <x:c r="E107" s="30"/>
      <x:c r="F107" s="22"/>
      <x:c r="G107" s="22"/>
      <x:c r="H107" s="22"/>
      <x:c r="I107" s="28"/>
    </x:row>
    <x:row r="108">
      <x:c r="A108" s="22"/>
      <x:c r="B108" s="22"/>
      <x:c r="C108" s="22"/>
      <x:c r="D108" s="22"/>
      <x:c r="E108" s="30"/>
      <x:c r="F108" s="22"/>
      <x:c r="G108" s="22"/>
      <x:c r="H108" s="22"/>
      <x:c r="I108" s="28"/>
    </x:row>
    <x:row r="109">
      <x:c r="A109" s="22"/>
      <x:c r="B109" s="22"/>
      <x:c r="C109" s="22"/>
      <x:c r="D109" s="22"/>
      <x:c r="E109" s="30"/>
      <x:c r="F109" s="22"/>
      <x:c r="G109" s="22"/>
      <x:c r="H109" s="22"/>
      <x:c r="I109" s="28"/>
    </x:row>
    <x:row r="110" ht="15">
      <x:c r="A110" s="22" t="s">
        <x:v>164</x:v>
      </x:c>
      <x:c r="B110" s="22" t="s">
        <x:v>165</x:v>
      </x:c>
      <x:c r="C110" s="22" t="s">
        <x:v>87</x:v>
      </x:c>
      <x:c r="D110" s="22" t="s">
        <x:v>125</x:v>
      </x:c>
      <x:c r="E110" s="30">
        <x:v>0.04</x:v>
      </x:c>
      <x:c r="F110" s="21" t="s">
        <x:v>27</x:v>
      </x:c>
      <x:c r="G110" s="21">
        <x:v>100</x:v>
      </x:c>
      <x:c r="H110" s="21">
        <x:v>0</x:v>
      </x:c>
      <x:c r="I110" s="28"/>
    </x:row>
    <x:row r="111" ht="15">
      <x:c r="A111" s="22" t="s">
        <x:v>164</x:v>
      </x:c>
      <x:c r="B111" s="22" t="s">
        <x:v>166</x:v>
      </x:c>
      <x:c r="C111" s="22" t="s">
        <x:v>87</x:v>
      </x:c>
      <x:c r="D111" s="22" t="s">
        <x:v>125</x:v>
      </x:c>
      <x:c r="E111" s="30">
        <x:v>0.08</x:v>
      </x:c>
      <x:c r="F111" s="21" t="s">
        <x:v>27</x:v>
      </x:c>
      <x:c r="G111" s="21">
        <x:v>100</x:v>
      </x:c>
      <x:c r="H111" s="21">
        <x:v>0</x:v>
      </x:c>
      <x:c r="I111" s="28"/>
    </x:row>
    <x:row r="112">
      <x:c r="A112" s="22"/>
      <x:c r="B112" s="22"/>
      <x:c r="C112" s="22"/>
      <x:c r="D112" s="22"/>
      <x:c r="E112" s="30"/>
      <x:c r="F112" s="22"/>
      <x:c r="G112" s="22"/>
      <x:c r="H112" s="22"/>
      <x:c r="I112" s="28"/>
    </x:row>
    <x:row r="113">
      <x:c r="A113" s="22"/>
      <x:c r="B113" s="22"/>
      <x:c r="C113" s="22"/>
      <x:c r="D113" s="22"/>
      <x:c r="E113" s="30"/>
      <x:c r="F113" s="22"/>
      <x:c r="G113" s="22"/>
      <x:c r="H113" s="22"/>
      <x:c r="I113" s="28"/>
    </x:row>
    <x:row r="114">
      <x:c r="A114" s="22"/>
      <x:c r="B114" s="22"/>
      <x:c r="C114" s="22"/>
      <x:c r="D114" s="22"/>
      <x:c r="E114" s="30"/>
      <x:c r="F114" s="22"/>
      <x:c r="G114" s="22"/>
      <x:c r="H114" s="22"/>
      <x:c r="I114" s="28"/>
    </x:row>
    <x:row r="115" ht="15">
      <x:c r="A115" s="22" t="s">
        <x:v>167</x:v>
      </x:c>
      <x:c r="B115" s="22" t="s">
        <x:v>168</x:v>
      </x:c>
      <x:c r="C115" s="22" t="s">
        <x:v>169</x:v>
      </x:c>
      <x:c r="D115" s="22" t="s">
        <x:v>26</x:v>
      </x:c>
      <x:c r="E115" s="26">
        <x:v>0.45</x:v>
      </x:c>
      <x:c r="F115" s="21" t="s">
        <x:v>27</x:v>
      </x:c>
      <x:c r="G115" s="21">
        <x:v>100</x:v>
      </x:c>
      <x:c r="H115" s="21">
        <x:v>0</x:v>
      </x:c>
      <x:c r="I115" s="28"/>
    </x:row>
    <x:row r="116" ht="15">
      <x:c r="A116" s="22" t="s">
        <x:v>167</x:v>
      </x:c>
      <x:c r="B116" s="22" t="s">
        <x:v>170</x:v>
      </x:c>
      <x:c r="C116" s="22" t="s">
        <x:v>169</x:v>
      </x:c>
      <x:c r="D116" s="22" t="s">
        <x:v>26</x:v>
      </x:c>
      <x:c r="E116" s="26">
        <x:v>0.25</x:v>
      </x:c>
      <x:c r="F116" s="21" t="s">
        <x:v>27</x:v>
      </x:c>
      <x:c r="G116" s="21">
        <x:v>100</x:v>
      </x:c>
      <x:c r="H116" s="21">
        <x:v>0</x:v>
      </x:c>
      <x:c r="I116" s="28"/>
    </x:row>
    <x:row r="117" ht="15">
      <x:c r="A117" s="22" t="s">
        <x:v>167</x:v>
      </x:c>
      <x:c r="B117" s="22" t="s">
        <x:v>171</x:v>
      </x:c>
      <x:c r="C117" s="22" t="s">
        <x:v>169</x:v>
      </x:c>
      <x:c r="D117" s="22" t="s">
        <x:v>26</x:v>
      </x:c>
      <x:c r="E117" s="26">
        <x:v>1.2</x:v>
      </x:c>
      <x:c r="F117" s="21" t="s">
        <x:v>27</x:v>
      </x:c>
      <x:c r="G117" s="21">
        <x:v>100</x:v>
      </x:c>
      <x:c r="H117" s="21">
        <x:v>0</x:v>
      </x:c>
      <x:c r="I117" s="28"/>
    </x:row>
    <x:row r="118" ht="15">
      <x:c r="A118" s="22" t="s">
        <x:v>167</x:v>
      </x:c>
      <x:c r="B118" s="22" t="s">
        <x:v>172</x:v>
      </x:c>
      <x:c r="C118" s="22" t="s">
        <x:v>169</x:v>
      </x:c>
      <x:c r="D118" s="22" t="s">
        <x:v>26</x:v>
      </x:c>
      <x:c r="E118" s="26">
        <x:v>0.8</x:v>
      </x:c>
      <x:c r="F118" s="21" t="s">
        <x:v>27</x:v>
      </x:c>
      <x:c r="G118" s="21">
        <x:v>100</x:v>
      </x:c>
      <x:c r="H118" s="21">
        <x:v>0</x:v>
      </x:c>
      <x:c r="I118" s="28"/>
    </x:row>
    <x:row r="119" ht="15">
      <x:c r="A119" s="22" t="s">
        <x:v>167</x:v>
      </x:c>
      <x:c r="B119" s="22" t="s">
        <x:v>173</x:v>
      </x:c>
      <x:c r="C119" s="22" t="s">
        <x:v>169</x:v>
      </x:c>
      <x:c r="D119" s="22" t="s">
        <x:v>26</x:v>
      </x:c>
      <x:c r="E119" s="26">
        <x:v>0.18</x:v>
      </x:c>
      <x:c r="F119" s="21" t="s">
        <x:v>27</x:v>
      </x:c>
      <x:c r="G119" s="21">
        <x:v>100</x:v>
      </x:c>
      <x:c r="H119" s="21">
        <x:v>0</x:v>
      </x:c>
      <x:c r="I119" s="28"/>
    </x:row>
    <x:row r="120" ht="15">
      <x:c r="A120" s="22" t="str">
        <x:v>胶带</x:v>
      </x:c>
      <x:c r="B120" s="22" t="str">
        <x:v>PVC电气绝缘胶带</x:v>
      </x:c>
      <x:c r="C120" s="22" t="str">
        <x:v>18mm×0.15mm，国产通用级</x:v>
      </x:c>
      <x:c r="D120" s="22" t="str">
        <x:v>m</x:v>
      </x:c>
      <x:c r="E120" s="26" t="n">
        <x:v>0.08</x:v>
      </x:c>
      <x:c r="F120" s="21" t="str">
        <x:v>N</x:v>
      </x:c>
      <x:c r="G120" s="21" t="n">
        <x:v>100</x:v>
      </x:c>
      <x:c r="H120" s="21" t="n">
        <x:v>0</x:v>
      </x:c>
      <x:c r="I120" s="98" t="str">
        <x:v>2026-08国内批量概算；按所列宽度/厚度折算，品牌、耐温、阻燃、胶系和采购量影响大，需RFQ；https://www.3m.com/3M/en_US/p/c/tapes/electrical/i/automotive/</x:v>
      </x:c>
    </x:row>
    <x:row r="121" ht="15">
      <x:c r="A121" s="22" t="str">
        <x:v>胶带</x:v>
      </x:c>
      <x:c r="B121" s="22" t="str">
        <x:v>PVC阻燃电气绝缘胶带</x:v>
      </x:c>
      <x:c r="C121" s="22" t="str">
        <x:v>18mm×0.18mm，600V高性能级</x:v>
      </x:c>
      <x:c r="D121" s="22" t="str">
        <x:v>m</x:v>
      </x:c>
      <x:c r="E121" s="26" t="n">
        <x:v>0.35</x:v>
      </x:c>
      <x:c r="F121" s="21" t="str">
        <x:v>N</x:v>
      </x:c>
      <x:c r="G121" s="21" t="n">
        <x:v>100</x:v>
      </x:c>
      <x:c r="H121" s="21" t="n">
        <x:v>0</x:v>
      </x:c>
      <x:c r="I121" s="98" t="str">
        <x:v>2026-08国内批量概算；按所列宽度/厚度折算，品牌、耐温、阻燃、胶系和采购量影响大，需RFQ；https://www.3m.com/3M/en_US/p/c/tapes/electrical/i/automotive/</x:v>
      </x:c>
    </x:row>
    <x:row r="122" ht="15">
      <x:c r="A122" s="22" t="str">
        <x:v>胶带</x:v>
      </x:c>
      <x:c r="B122" s="22" t="str">
        <x:v>PET薄膜绝缘胶带</x:v>
      </x:c>
      <x:c r="C122" s="22" t="str">
        <x:v>20mm×0.055mm，丙烯酸胶</x:v>
      </x:c>
      <x:c r="D122" s="22" t="str">
        <x:v>m</x:v>
      </x:c>
      <x:c r="E122" s="26" t="n">
        <x:v>0.16</x:v>
      </x:c>
      <x:c r="F122" s="21" t="str">
        <x:v>N</x:v>
      </x:c>
      <x:c r="G122" s="21" t="n">
        <x:v>100</x:v>
      </x:c>
      <x:c r="H122" s="21" t="n">
        <x:v>0</x:v>
      </x:c>
      <x:c r="I122" s="98" t="str">
        <x:v>2026-08国内批量概算；按所列宽度/厚度折算，品牌、耐温、阻燃、胶系和采购量影响大，需RFQ；https://www.3m.com/3M/en_US/p/c/tapes/electrical/i/automotive/</x:v>
      </x:c>
    </x:row>
    <x:row r="123" ht="15">
      <x:c r="A123" s="22" t="str">
        <x:v>胶带</x:v>
      </x:c>
      <x:c r="B123" s="22" t="str">
        <x:v>PET阻燃绝缘胶带</x:v>
      </x:c>
      <x:c r="C123" s="22" t="str">
        <x:v>20mm×0.08mm，UL94 V-0级</x:v>
      </x:c>
      <x:c r="D123" s="22" t="str">
        <x:v>m</x:v>
      </x:c>
      <x:c r="E123" s="26" t="n">
        <x:v>0.32</x:v>
      </x:c>
      <x:c r="F123" s="21" t="str">
        <x:v>N</x:v>
      </x:c>
      <x:c r="G123" s="21" t="n">
        <x:v>100</x:v>
      </x:c>
      <x:c r="H123" s="21" t="n">
        <x:v>0</x:v>
      </x:c>
      <x:c r="I123" s="98" t="str">
        <x:v>2026-08国内批量概算；按所列宽度/厚度折算，品牌、耐温、阻燃、胶系和采购量影响大，需RFQ；https://www.3m.com/3M/en_US/p/c/tapes/electrical/i/automotive/</x:v>
      </x:c>
    </x:row>
    <x:row r="124" ht="15">
      <x:c r="A124" s="22" t="str">
        <x:v>胶带</x:v>
      </x:c>
      <x:c r="B124" s="22" t="str">
        <x:v>PI聚酰亚胺胶带</x:v>
      </x:c>
      <x:c r="C124" s="22" t="str">
        <x:v>10mm×0.055mm，国产高温级</x:v>
      </x:c>
      <x:c r="D124" s="22" t="str">
        <x:v>m</x:v>
      </x:c>
      <x:c r="E124" s="26" t="n">
        <x:v>0.22</x:v>
      </x:c>
      <x:c r="F124" s="21" t="str">
        <x:v>N</x:v>
      </x:c>
      <x:c r="G124" s="21" t="n">
        <x:v>100</x:v>
      </x:c>
      <x:c r="H124" s="21" t="n">
        <x:v>0</x:v>
      </x:c>
      <x:c r="I124" s="98" t="str">
        <x:v>2026-08国内批量概算；宽度、PI膜厚、耐温和硅胶/丙烯酸胶系影响大，需RFQ；https://www.qnityelectronics.com/kapton-polyimide-film.html</x:v>
      </x:c>
    </x:row>
    <x:row r="125" ht="15">
      <x:c r="A125" s="22" t="str">
        <x:v>胶带</x:v>
      </x:c>
      <x:c r="B125" s="22" t="str">
        <x:v>PI聚酰亚胺胶带</x:v>
      </x:c>
      <x:c r="C125" s="22" t="str">
        <x:v>20mm×0.055mm，国产高温级</x:v>
      </x:c>
      <x:c r="D125" s="22" t="str">
        <x:v>m</x:v>
      </x:c>
      <x:c r="E125" s="26" t="n">
        <x:v>0.42</x:v>
      </x:c>
      <x:c r="F125" s="21" t="str">
        <x:v>N</x:v>
      </x:c>
      <x:c r="G125" s="21" t="n">
        <x:v>100</x:v>
      </x:c>
      <x:c r="H125" s="21" t="n">
        <x:v>0</x:v>
      </x:c>
      <x:c r="I125" s="98" t="str">
        <x:v>2026-08国内批量概算；宽度、PI膜厚、耐温和硅胶/丙烯酸胶系影响大，需RFQ；https://www.qnityelectronics.com/kapton-polyimide-film.html</x:v>
      </x:c>
    </x:row>
    <x:row r="126" ht="15">
      <x:c r="A126" s="22" t="str">
        <x:v>胶带</x:v>
      </x:c>
      <x:c r="B126" s="22" t="str">
        <x:v>醋酸布绝缘胶带</x:v>
      </x:c>
      <x:c r="C126" s="22" t="str">
        <x:v>20mm×0.22mm，线圈/线束级</x:v>
      </x:c>
      <x:c r="D126" s="22" t="str">
        <x:v>m</x:v>
      </x:c>
      <x:c r="E126" s="26" t="n">
        <x:v>0.38</x:v>
      </x:c>
      <x:c r="F126" s="21" t="str">
        <x:v>N</x:v>
      </x:c>
      <x:c r="G126" s="21" t="n">
        <x:v>100</x:v>
      </x:c>
      <x:c r="H126" s="21" t="n">
        <x:v>0</x:v>
      </x:c>
      <x:c r="I126" s="98" t="str">
        <x:v>2026-08国内批量概算；按所列宽度/厚度折算，品牌、耐温、阻燃、胶系和采购量影响大，需RFQ；https://www.3m.com/3M/en_US/p/c/tapes/electrical/i/automotive/</x:v>
      </x:c>
    </x:row>
    <x:row r="127" ht="15">
      <x:c r="A127" s="22" t="str">
        <x:v>胶带</x:v>
      </x:c>
      <x:c r="B127" s="22" t="str">
        <x:v>玻璃布绝缘胶带</x:v>
      </x:c>
      <x:c r="C127" s="22" t="str">
        <x:v>20mm×0.18mm，高温绝缘级</x:v>
      </x:c>
      <x:c r="D127" s="22" t="str">
        <x:v>m</x:v>
      </x:c>
      <x:c r="E127" s="26" t="n">
        <x:v>0.55</x:v>
      </x:c>
      <x:c r="F127" s="21" t="str">
        <x:v>N</x:v>
      </x:c>
      <x:c r="G127" s="21" t="n">
        <x:v>100</x:v>
      </x:c>
      <x:c r="H127" s="21" t="n">
        <x:v>0</x:v>
      </x:c>
      <x:c r="I127" s="98" t="str">
        <x:v>2026-08国内批量概算；按所列宽度/厚度折算，品牌、耐温、阻燃、胶系和采购量影响大，需RFQ；https://www.3m.com/3M/en_US/p/c/tapes/electrical/i/automotive/</x:v>
      </x:c>
    </x:row>
    <x:row r="128" ht="15">
      <x:c r="A128" s="22" t="str">
        <x:v>胶带</x:v>
      </x:c>
      <x:c r="B128" s="22" t="str">
        <x:v>PTFE玻纤胶带</x:v>
      </x:c>
      <x:c r="C128" s="22" t="str">
        <x:v>20mm×0.13mm，耐高温防粘</x:v>
      </x:c>
      <x:c r="D128" s="22" t="str">
        <x:v>m</x:v>
      </x:c>
      <x:c r="E128" s="26" t="n">
        <x:v>0.75</x:v>
      </x:c>
      <x:c r="F128" s="21" t="str">
        <x:v>N</x:v>
      </x:c>
      <x:c r="G128" s="21" t="n">
        <x:v>100</x:v>
      </x:c>
      <x:c r="H128" s="21" t="n">
        <x:v>0</x:v>
      </x:c>
      <x:c r="I128" s="98" t="str">
        <x:v>2026-08国内批量概算；按所列宽度/厚度折算，品牌、耐温、阻燃、胶系和采购量影响大，需RFQ；https://www.3m.com/3M/en_US/p/c/tapes/electrical/i/automotive/</x:v>
      </x:c>
    </x:row>
    <x:row r="129" ht="15">
      <x:c r="A129" s="22" t="str">
        <x:v>胶带</x:v>
      </x:c>
      <x:c r="B129" s="22" t="str">
        <x:v>汽车线束PVC胶带</x:v>
      </x:c>
      <x:c r="C129" s="22" t="str">
        <x:v>19mm×0.13mm，低VOC束线级</x:v>
      </x:c>
      <x:c r="D129" s="22" t="str">
        <x:v>m</x:v>
      </x:c>
      <x:c r="E129" s="26" t="n">
        <x:v>0.16</x:v>
      </x:c>
      <x:c r="F129" s="21" t="str">
        <x:v>N</x:v>
      </x:c>
      <x:c r="G129" s="21" t="n">
        <x:v>100</x:v>
      </x:c>
      <x:c r="H129" s="21" t="n">
        <x:v>0</x:v>
      </x:c>
      <x:c r="I129" s="98" t="str">
        <x:v>2026-08国内汽车线束级批量概算；按19mm宽折算，耐温、耐磨、降噪、低VOC和胶系影响大，需RFQ；https://www.tesa.com/en-us/industry/markets/wire-harnessing</x:v>
      </x:c>
    </x:row>
    <x:row r="130" ht="15">
      <x:c r="A130" s="22" t="str">
        <x:v>胶带</x:v>
      </x:c>
      <x:c r="B130" s="22" t="str">
        <x:v>汽车线束无纺布胶带</x:v>
      </x:c>
      <x:c r="C130" s="22" t="str">
        <x:v>19mm×0.25mm，降噪级</x:v>
      </x:c>
      <x:c r="D130" s="22" t="str">
        <x:v>m</x:v>
      </x:c>
      <x:c r="E130" s="26" t="n">
        <x:v>0.45</x:v>
      </x:c>
      <x:c r="F130" s="21" t="str">
        <x:v>N</x:v>
      </x:c>
      <x:c r="G130" s="21" t="n">
        <x:v>100</x:v>
      </x:c>
      <x:c r="H130" s="21" t="n">
        <x:v>0</x:v>
      </x:c>
      <x:c r="I130" s="98" t="str">
        <x:v>2026-08国内汽车线束级批量概算；按19mm宽折算，耐温、耐磨、降噪、低VOC和胶系影响大，需RFQ；https://www.tesa.com/en-us/industry/markets/wire-harnessing</x:v>
      </x:c>
    </x:row>
    <x:row r="131" ht="15">
      <x:c r="A131" s="22" t="str">
        <x:v>胶带</x:v>
      </x:c>
      <x:c r="B131" s="22" t="str">
        <x:v>汽车线束PET布基胶带</x:v>
      </x:c>
      <x:c r="C131" s="22" t="str">
        <x:v>19mm×0.25mm，耐磨级</x:v>
      </x:c>
      <x:c r="D131" s="22" t="str">
        <x:v>m</x:v>
      </x:c>
      <x:c r="E131" s="26" t="n">
        <x:v>0.55</x:v>
      </x:c>
      <x:c r="F131" s="21" t="str">
        <x:v>N</x:v>
      </x:c>
      <x:c r="G131" s="21" t="n">
        <x:v>100</x:v>
      </x:c>
      <x:c r="H131" s="21" t="n">
        <x:v>0</x:v>
      </x:c>
      <x:c r="I131" s="98" t="str">
        <x:v>2026-08国内汽车线束级批量概算；按19mm宽折算，耐温、耐磨、降噪、低VOC和胶系影响大，需RFQ；https://www.tesa.com/en-us/industry/markets/wire-harnessing</x:v>
      </x:c>
    </x:row>
    <x:row r="132" ht="15">
      <x:c r="A132" s="22" t="str">
        <x:v>胶带</x:v>
      </x:c>
      <x:c r="B132" s="22" t="str">
        <x:v>汽车线束PA布基胶带</x:v>
      </x:c>
      <x:c r="C132" s="22" t="str">
        <x:v>19mm×0.30mm，高耐磨防护级</x:v>
      </x:c>
      <x:c r="D132" s="22" t="str">
        <x:v>m</x:v>
      </x:c>
      <x:c r="E132" s="26" t="n">
        <x:v>1.6</x:v>
      </x:c>
      <x:c r="F132" s="21" t="str">
        <x:v>N</x:v>
      </x:c>
      <x:c r="G132" s="21" t="n">
        <x:v>100</x:v>
      </x:c>
      <x:c r="H132" s="21" t="n">
        <x:v>0</x:v>
      </x:c>
      <x:c r="I132" s="98" t="str">
        <x:v>2026-08国内汽车线束级批量概算；按19mm宽折算，耐温、耐磨、降噪、低VOC和胶系影响大，需RFQ；https://www.tesa.com/en-us/industry/markets/wire-harnessing</x:v>
      </x:c>
    </x:row>
    <x:row r="133" ht="15">
      <x:c r="A133" s="22" t="str">
        <x:v>胶带</x:v>
      </x:c>
      <x:c r="B133" s="22" t="str">
        <x:v>铝箔屏蔽胶带</x:v>
      </x:c>
      <x:c r="C133" s="22" t="str">
        <x:v>25mm×0.08mm，导电胶</x:v>
      </x:c>
      <x:c r="D133" s="22" t="str">
        <x:v>m</x:v>
      </x:c>
      <x:c r="E133" s="26" t="n">
        <x:v>0.75</x:v>
      </x:c>
      <x:c r="F133" s="21" t="str">
        <x:v>N</x:v>
      </x:c>
      <x:c r="G133" s="21" t="n">
        <x:v>100</x:v>
      </x:c>
      <x:c r="H133" s="21" t="n">
        <x:v>0</x:v>
      </x:c>
      <x:c r="I133" s="98" t="str">
        <x:v>2026-08国内批量概算；按所列宽度/厚度折算，品牌、耐温、阻燃、胶系和采购量影响大，需RFQ；https://www.3m.com/3M/en_US/p/c/tapes/electrical/i/automotive/</x:v>
      </x:c>
    </x:row>
    <x:row r="134" ht="15">
      <x:c r="A134" s="22" t="str">
        <x:v>胶带</x:v>
      </x:c>
      <x:c r="B134" s="22" t="str">
        <x:v>铜箔屏蔽胶带</x:v>
      </x:c>
      <x:c r="C134" s="22" t="str">
        <x:v>25mm×0.08mm，导电胶</x:v>
      </x:c>
      <x:c r="D134" s="22" t="str">
        <x:v>m</x:v>
      </x:c>
      <x:c r="E134" s="26" t="n">
        <x:v>1.8</x:v>
      </x:c>
      <x:c r="F134" s="21" t="str">
        <x:v>N</x:v>
      </x:c>
      <x:c r="G134" s="21" t="n">
        <x:v>100</x:v>
      </x:c>
      <x:c r="H134" s="21" t="n">
        <x:v>0</x:v>
      </x:c>
      <x:c r="I134" s="98" t="str">
        <x:v>2026-08国内批量概算；按所列宽度/厚度折算，品牌、耐温、阻燃、胶系和采购量影响大，需RFQ；https://www.3m.com/3M/en_US/p/c/tapes/electrical/i/automotive/</x:v>
      </x:c>
    </x:row>
    <x:row r="135" ht="15">
      <x:c r="A135" s="22" t="str">
        <x:v>胶带</x:v>
      </x:c>
      <x:c r="B135" s="22" t="str">
        <x:v>导电布屏蔽胶带</x:v>
      </x:c>
      <x:c r="C135" s="22" t="str">
        <x:v>20mm×0.10mm，镀镍铜导电胶</x:v>
      </x:c>
      <x:c r="D135" s="22" t="str">
        <x:v>m</x:v>
      </x:c>
      <x:c r="E135" s="26" t="n">
        <x:v>1.2</x:v>
      </x:c>
      <x:c r="F135" s="21" t="str">
        <x:v>N</x:v>
      </x:c>
      <x:c r="G135" s="21" t="n">
        <x:v>100</x:v>
      </x:c>
      <x:c r="H135" s="21" t="n">
        <x:v>0</x:v>
      </x:c>
      <x:c r="I135" s="98" t="str">
        <x:v>2026-08国内批量概算；按所列宽度/厚度折算，品牌、耐温、阻燃、胶系和采购量影响大，需RFQ；https://www.3m.com/3M/en_US/p/c/tapes/electrical/i/automotive/</x:v>
      </x:c>
    </x:row>
    <x:row r="136" ht="15">
      <x:c r="A136" s="22" t="str">
        <x:v>胶带</x:v>
      </x:c>
      <x:c r="B136" s="22" t="str">
        <x:v>PET双面胶带</x:v>
      </x:c>
      <x:c r="C136" s="22" t="str">
        <x:v>20mm×0.10mm，国产工业级</x:v>
      </x:c>
      <x:c r="D136" s="22" t="str">
        <x:v>m</x:v>
      </x:c>
      <x:c r="E136" s="26" t="n">
        <x:v>0.18</x:v>
      </x:c>
      <x:c r="F136" s="21" t="str">
        <x:v>N</x:v>
      </x:c>
      <x:c r="G136" s="21" t="n">
        <x:v>100</x:v>
      </x:c>
      <x:c r="H136" s="21" t="n">
        <x:v>0</x:v>
      </x:c>
      <x:c r="I136" s="98" t="str">
        <x:v>2026-08国内批量概算；按所列宽度/厚度折算，品牌、耐温、阻燃、胶系和采购量影响大，需RFQ；https://www.3m.com/3M/en_US/p/c/tapes/electrical/i/automotive/</x:v>
      </x:c>
    </x:row>
    <x:row r="137" ht="15">
      <x:c r="A137" s="22" t="str">
        <x:v>胶带</x:v>
      </x:c>
      <x:c r="B137" s="22" t="str">
        <x:v>无纺布双面胶带</x:v>
      </x:c>
      <x:c r="C137" s="22" t="str">
        <x:v>20mm×0.16mm，国产工业级</x:v>
      </x:c>
      <x:c r="D137" s="22" t="str">
        <x:v>m</x:v>
      </x:c>
      <x:c r="E137" s="26" t="n">
        <x:v>0.14</x:v>
      </x:c>
      <x:c r="F137" s="21" t="str">
        <x:v>N</x:v>
      </x:c>
      <x:c r="G137" s="21" t="n">
        <x:v>100</x:v>
      </x:c>
      <x:c r="H137" s="21" t="n">
        <x:v>0</x:v>
      </x:c>
      <x:c r="I137" s="98" t="str">
        <x:v>2026-08国内批量概算；按所列宽度/厚度折算，品牌、耐温、阻燃、胶系和采购量影响大，需RFQ；https://www.3m.com/3M/en_US/p/c/tapes/electrical/i/automotive/</x:v>
      </x:c>
    </x:row>
    <x:row r="138" ht="15">
      <x:c r="A138" s="22" t="str">
        <x:v>胶带</x:v>
      </x:c>
      <x:c r="B138" s="22" t="str">
        <x:v>丁基密封胶带</x:v>
      </x:c>
      <x:c r="C138" s="22" t="str">
        <x:v>20mm×2.0mm，车身/线束密封</x:v>
      </x:c>
      <x:c r="D138" s="22" t="str">
        <x:v>m</x:v>
      </x:c>
      <x:c r="E138" s="26" t="n">
        <x:v>1</x:v>
      </x:c>
      <x:c r="F138" s="21" t="str">
        <x:v>N</x:v>
      </x:c>
      <x:c r="G138" s="21" t="n">
        <x:v>100</x:v>
      </x:c>
      <x:c r="H138" s="21" t="n">
        <x:v>0</x:v>
      </x:c>
      <x:c r="I138" s="98" t="str">
        <x:v>2026-08国内批量概算；按所列宽度/厚度折算，品牌、耐温、阻燃、胶系和采购量影响大，需RFQ；https://www.3m.com/3M/en_US/p/c/tapes/electrical/i/automotive/</x:v>
      </x:c>
    </x:row>
    <x:row r="139" ht="15">
      <x:c r="A139" s="22" t="str">
        <x:v>胶带</x:v>
      </x:c>
      <x:c r="B139" s="22" t="str">
        <x:v>高温美纹纸胶带</x:v>
      </x:c>
      <x:c r="C139" s="22" t="str">
        <x:v>20mm×0.16mm，150℃遮蔽级</x:v>
      </x:c>
      <x:c r="D139" s="22" t="str">
        <x:v>m</x:v>
      </x:c>
      <x:c r="E139" s="26" t="n">
        <x:v>0.12</x:v>
      </x:c>
      <x:c r="F139" s="21" t="str">
        <x:v>N</x:v>
      </x:c>
      <x:c r="G139" s="21" t="n">
        <x:v>100</x:v>
      </x:c>
      <x:c r="H139" s="21" t="n">
        <x:v>0</x:v>
      </x:c>
      <x:c r="I139" s="98" t="str">
        <x:v>2026-08国内批量概算；按所列宽度/厚度折算，品牌、耐温、阻燃、胶系和采购量影响大，需RFQ；https://www.3m.com/3M/en_US/p/c/tapes/electrical/i/automotive/</x:v>
      </x:c>
    </x:row>
    <x:row r="140" ht="15">
      <x:c r="A140" s="22" t="str">
        <x:v>绝缘材料</x:v>
      </x:c>
      <x:c r="B140" s="22" t="str">
        <x:v>PI聚酰亚胺绝缘膜</x:v>
      </x:c>
      <x:c r="C140" s="22" t="str">
        <x:v>0.05mm，通用高温级</x:v>
      </x:c>
      <x:c r="D140" s="22" t="str">
        <x:v>m2</x:v>
      </x:c>
      <x:c r="E140" s="26" t="n">
        <x:v>30</x:v>
      </x:c>
      <x:c r="F140" s="21" t="str">
        <x:v>N</x:v>
      </x:c>
      <x:c r="G140" s="21" t="n">
        <x:v>90</x:v>
      </x:c>
      <x:c r="H140" s="21" t="n">
        <x:v>0</x:v>
      </x:c>
      <x:c r="I140" s="98" t="str">
        <x:v>2026-08国内批量概算；厚度、耐电晕、表面处理和品牌影响大，需RFQ；https://www.qnityelectronics.com/kapton-polyimide-film.html</x:v>
      </x:c>
    </x:row>
    <x:row r="141" ht="15">
      <x:c r="A141" s="22" t="str">
        <x:v>绝缘材料</x:v>
      </x:c>
      <x:c r="B141" s="22" t="str">
        <x:v>PET聚酯绝缘膜</x:v>
      </x:c>
      <x:c r="C141" s="22" t="str">
        <x:v>0.125mm，电气级</x:v>
      </x:c>
      <x:c r="D141" s="22" t="str">
        <x:v>m2</x:v>
      </x:c>
      <x:c r="E141" s="26" t="n">
        <x:v>8</x:v>
      </x:c>
      <x:c r="F141" s="21" t="str">
        <x:v>N</x:v>
      </x:c>
      <x:c r="G141" s="21" t="n">
        <x:v>90</x:v>
      </x:c>
      <x:c r="H141" s="21" t="n">
        <x:v>0</x:v>
      </x:c>
      <x:c r="I141" s="98" t="str">
        <x:v>2026-08国内批量概算；厚度、阻燃、耐温和表面处理影响大，需RFQ；https://krempel.com/en/products</x:v>
      </x:c>
    </x:row>
    <x:row r="142" ht="15">
      <x:c r="A142" s="22" t="str">
        <x:v>绝缘材料</x:v>
      </x:c>
      <x:c r="B142" s="22" t="str">
        <x:v>PC阻燃绝缘膜</x:v>
      </x:c>
      <x:c r="C142" s="22" t="str">
        <x:v>0.25mm，无卤UL94 V-0级</x:v>
      </x:c>
      <x:c r="D142" s="22" t="str">
        <x:v>m2</x:v>
      </x:c>
      <x:c r="E142" s="26" t="n">
        <x:v>22</x:v>
      </x:c>
      <x:c r="F142" s="21" t="str">
        <x:v>N</x:v>
      </x:c>
      <x:c r="G142" s="21" t="n">
        <x:v>90</x:v>
      </x:c>
      <x:c r="H142" s="21" t="n">
        <x:v>0</x:v>
      </x:c>
      <x:c r="I142" s="98" t="str">
        <x:v>2026-08国内批量概算；厚度、阻燃等级和品牌影响大，需RFQ；https://www.itwformex.com/products/formex-gk</x:v>
      </x:c>
    </x:row>
    <x:row r="143" ht="15">
      <x:c r="A143" s="22" t="str">
        <x:v>绝缘材料</x:v>
      </x:c>
      <x:c r="B143" s="22" t="str">
        <x:v>PP阻燃绝缘片</x:v>
      </x:c>
      <x:c r="C143" s="22" t="str">
        <x:v>0.25mm，Formex类UL94 V-0级</x:v>
      </x:c>
      <x:c r="D143" s="22" t="str">
        <x:v>m2</x:v>
      </x:c>
      <x:c r="E143" s="26" t="n">
        <x:v>18</x:v>
      </x:c>
      <x:c r="F143" s="21" t="str">
        <x:v>N</x:v>
      </x:c>
      <x:c r="G143" s="21" t="n">
        <x:v>90</x:v>
      </x:c>
      <x:c r="H143" s="21" t="n">
        <x:v>0</x:v>
      </x:c>
      <x:c r="I143" s="98" t="str">
        <x:v>2026-08国内同类材料批量概算；厚度、阻燃等级和品牌影响大，需RFQ；https://www.itwformex.com/products/formex-gk</x:v>
      </x:c>
    </x:row>
    <x:row r="144" ht="15">
      <x:c r="A144" s="22" t="str">
        <x:v>绝缘材料</x:v>
      </x:c>
      <x:c r="B144" s="22" t="str">
        <x:v>DMD复合绝缘纸</x:v>
      </x:c>
      <x:c r="C144" s="22" t="str">
        <x:v>0.25mm，F级</x:v>
      </x:c>
      <x:c r="D144" s="22" t="str">
        <x:v>m2</x:v>
      </x:c>
      <x:c r="E144" s="26" t="n">
        <x:v>8</x:v>
      </x:c>
      <x:c r="F144" s="21" t="str">
        <x:v>N</x:v>
      </x:c>
      <x:c r="G144" s="21" t="n">
        <x:v>90</x:v>
      </x:c>
      <x:c r="H144" s="21" t="n">
        <x:v>0</x:v>
      </x:c>
      <x:c r="I144" s="98" t="str">
        <x:v>2026-08国内批量概算；厚度、耐热等级和复合结构影响大，需RFQ；https://krempel.com/en/products</x:v>
      </x:c>
    </x:row>
    <x:row r="145" ht="15">
      <x:c r="A145" s="22" t="str">
        <x:v>绝缘材料</x:v>
      </x:c>
      <x:c r="B145" s="22" t="str">
        <x:v>NMN复合绝缘纸</x:v>
      </x:c>
      <x:c r="C145" s="22" t="str">
        <x:v>0.25mm，H级</x:v>
      </x:c>
      <x:c r="D145" s="22" t="str">
        <x:v>m2</x:v>
      </x:c>
      <x:c r="E145" s="26" t="n">
        <x:v>24</x:v>
      </x:c>
      <x:c r="F145" s="21" t="str">
        <x:v>N</x:v>
      </x:c>
      <x:c r="G145" s="21" t="n">
        <x:v>90</x:v>
      </x:c>
      <x:c r="H145" s="21" t="n">
        <x:v>0</x:v>
      </x:c>
      <x:c r="I145" s="98" t="str">
        <x:v>2026-08国内批量概算；厚度、Nomex配比和耐热等级影响大，需RFQ；https://krempel.com/en/products</x:v>
      </x:c>
    </x:row>
    <x:row r="146" ht="15">
      <x:c r="A146" s="22" t="str">
        <x:v>绝缘材料</x:v>
      </x:c>
      <x:c r="B146" s="22" t="str">
        <x:v>Nomex芳纶绝缘纸</x:v>
      </x:c>
      <x:c r="C146" s="22" t="str">
        <x:v>T410，0.25mm</x:v>
      </x:c>
      <x:c r="D146" s="22" t="str">
        <x:v>m2</x:v>
      </x:c>
      <x:c r="E146" s="26" t="n">
        <x:v>60</x:v>
      </x:c>
      <x:c r="F146" s="21" t="str">
        <x:v>N</x:v>
      </x:c>
      <x:c r="G146" s="21" t="n">
        <x:v>90</x:v>
      </x:c>
      <x:c r="H146" s="21" t="n">
        <x:v>0</x:v>
      </x:c>
      <x:c r="I146" s="98" t="str">
        <x:v>2026-08批量概算；厚度、牌号和采购量影响大，需RFQ；https://www.dupont.com/electrical-insulation/nomex-papers.html</x:v>
      </x:c>
    </x:row>
    <x:row r="147" ht="15">
      <x:c r="A147" s="22" t="str">
        <x:v>绝缘材料</x:v>
      </x:c>
      <x:c r="B147" s="22" t="str">
        <x:v>青壳绝缘纸</x:v>
      </x:c>
      <x:c r="C147" s="22" t="str">
        <x:v>0.25mm，电机/电器通用级</x:v>
      </x:c>
      <x:c r="D147" s="22" t="str">
        <x:v>m2</x:v>
      </x:c>
      <x:c r="E147" s="26" t="n">
        <x:v>6</x:v>
      </x:c>
      <x:c r="F147" s="21" t="str">
        <x:v>N</x:v>
      </x:c>
      <x:c r="G147" s="21" t="n">
        <x:v>90</x:v>
      </x:c>
      <x:c r="H147" s="21" t="n">
        <x:v>0</x:v>
      </x:c>
      <x:c r="I147" s="98" t="str">
        <x:v>2026-08国内批量概算；厚度、耐热等级和模切损耗影响大，需RFQ；https://krempel.com/en/products</x:v>
      </x:c>
    </x:row>
    <x:row r="148" ht="15">
      <x:c r="A148" s="22" t="str">
        <x:v>绝缘材料</x:v>
      </x:c>
      <x:c r="B148" s="22" t="str">
        <x:v>云母绝缘片</x:v>
      </x:c>
      <x:c r="C148" s="22" t="str">
        <x:v>0.5mm，硬质白云母级</x:v>
      </x:c>
      <x:c r="D148" s="22" t="str">
        <x:v>m2</x:v>
      </x:c>
      <x:c r="E148" s="26" t="n">
        <x:v>35</x:v>
      </x:c>
      <x:c r="F148" s="21" t="str">
        <x:v>N</x:v>
      </x:c>
      <x:c r="G148" s="21" t="n">
        <x:v>85</x:v>
      </x:c>
      <x:c r="H148" s="21" t="n">
        <x:v>0</x:v>
      </x:c>
      <x:c r="I148" s="98" t="str">
        <x:v>2026-08国内批量概算；厚度、云母类型、粘结体系和耐温影响大，需RFQ；https://krempel.com/en/products</x:v>
      </x:c>
    </x:row>
    <x:row r="149" ht="15">
      <x:c r="A149" s="22" t="str">
        <x:v>绝缘材料</x:v>
      </x:c>
      <x:c r="B149" s="22" t="str">
        <x:v>FR-4环氧玻纤绝缘片</x:v>
      </x:c>
      <x:c r="C149" s="22" t="str">
        <x:v>0.5mm，阻燃电气级</x:v>
      </x:c>
      <x:c r="D149" s="22" t="str">
        <x:v>m2</x:v>
      </x:c>
      <x:c r="E149" s="26" t="n">
        <x:v>45</x:v>
      </x:c>
      <x:c r="F149" s="21" t="str">
        <x:v>N</x:v>
      </x:c>
      <x:c r="G149" s="21" t="n">
        <x:v>85</x:v>
      </x:c>
      <x:c r="H149" s="21" t="n">
        <x:v>0</x:v>
      </x:c>
      <x:c r="I149" s="98" t="str">
        <x:v>2026-08国内批量概算；厚度、阻燃、耐漏电起痕和加工损耗影响大，需RFQ；https://krempel.com/en/products</x:v>
      </x:c>
    </x:row>
    <x:row r="150" ht="15">
      <x:c r="A150" s="22" t="str">
        <x:v>绝缘材料</x:v>
      </x:c>
      <x:c r="B150" s="22" t="str">
        <x:v>硅胶玻纤绝缘布</x:v>
      </x:c>
      <x:c r="C150" s="22" t="str">
        <x:v>0.30mm，耐高温柔性级</x:v>
      </x:c>
      <x:c r="D150" s="22" t="str">
        <x:v>m2</x:v>
      </x:c>
      <x:c r="E150" s="26" t="n">
        <x:v>28</x:v>
      </x:c>
      <x:c r="F150" s="21" t="str">
        <x:v>N</x:v>
      </x:c>
      <x:c r="G150" s="21" t="n">
        <x:v>90</x:v>
      </x:c>
      <x:c r="H150" s="21" t="n">
        <x:v>0</x:v>
      </x:c>
      <x:c r="I150" s="98" t="str">
        <x:v>2026-08国内批量概算；厚度、硅胶涂覆量和耐温等级影响大，需RFQ；https://krempel.com/en/products</x:v>
      </x:c>
    </x:row>
    <x:row r="151" ht="15">
      <x:c r="A151" s="22" t="str">
        <x:v>绝缘材料</x:v>
      </x:c>
      <x:c r="B151" s="22" t="str">
        <x:v>双壁带胶热缩管</x:v>
      </x:c>
      <x:c r="C151" s="22" t="str">
        <x:v>φ6mm，3:1，阻燃黑色</x:v>
      </x:c>
      <x:c r="D151" s="22" t="str">
        <x:v>m</x:v>
      </x:c>
      <x:c r="E151" s="26" t="n">
        <x:v>1.5</x:v>
      </x:c>
      <x:c r="F151" s="21" t="str">
        <x:v>N</x:v>
      </x:c>
      <x:c r="G151" s="21" t="n">
        <x:v>95</x:v>
      </x:c>
      <x:c r="H151" s="21" t="n">
        <x:v>0</x:v>
      </x:c>
      <x:c r="I151" s="98" t="str">
        <x:v>2026-08国内车规同类批量概算；管径、收缩比、壁厚和胶层影响大，需RFQ；https://www.te.com/en/products/heat-shrink-tubing/dual-wall-tubing.html</x:v>
      </x:c>
    </x:row>
    <x:row r="152" ht="15">
      <x:c r="A152" s="22" t="str">
        <x:v>绝缘材料</x:v>
      </x:c>
      <x:c r="B152" s="22" t="str">
        <x:v>双壁带胶热缩管</x:v>
      </x:c>
      <x:c r="C152" s="22" t="str">
        <x:v>φ12mm，3:1，阻燃黑色</x:v>
      </x:c>
      <x:c r="D152" s="22" t="str">
        <x:v>m</x:v>
      </x:c>
      <x:c r="E152" s="26" t="n">
        <x:v>2.8</x:v>
      </x:c>
      <x:c r="F152" s="21" t="str">
        <x:v>N</x:v>
      </x:c>
      <x:c r="G152" s="21" t="n">
        <x:v>95</x:v>
      </x:c>
      <x:c r="H152" s="21" t="n">
        <x:v>0</x:v>
      </x:c>
      <x:c r="I152" s="98" t="str">
        <x:v>2026-08国内车规同类批量概算；管径、收缩比、壁厚和胶层影响大，需RFQ；https://www.te.com/en/products/heat-shrink-tubing/dual-wall-tubing.html</x:v>
      </x:c>
    </x:row>
    <x:row r="153">
      <x:c r="A153" s="22" t="str">
        <x:v>绝缘材料</x:v>
      </x:c>
      <x:c r="B153" s="22" t="str">
        <x:v>PET编织套管</x:v>
      </x:c>
      <x:c r="C153" s="22" t="str">
        <x:v>φ10mm，阻燃耐磨级</x:v>
      </x:c>
      <x:c r="D153" s="22" t="str">
        <x:v>m</x:v>
      </x:c>
      <x:c r="E153" s="30" t="n">
        <x:v>1.2</x:v>
      </x:c>
      <x:c r="F153" s="22" t="str">
        <x:v>N</x:v>
      </x:c>
      <x:c r="G153" s="22" t="n">
        <x:v>95</x:v>
      </x:c>
      <x:c r="H153" s="22" t="n">
        <x:v>0</x:v>
      </x:c>
      <x:c r="I153" s="98" t="str">
        <x:v>2026-08国内批量概算；口径、编织密度、阻燃和扩张率影响大，需RFQ；https://krempel.com/en/products</x:v>
      </x:c>
    </x:row>
    <x:row r="154" ht="15">
      <x:c r="A154" s="22" t="s">
        <x:v>174</x:v>
      </x:c>
      <x:c r="B154" s="22" t="s">
        <x:v>175</x:v>
      </x:c>
      <x:c r="C154" s="22" t="s">
        <x:v>87</x:v>
      </x:c>
      <x:c r="D154" s="22" t="s">
        <x:v>26</x:v>
      </x:c>
      <x:c r="E154" s="26">
        <x:v>12</x:v>
      </x:c>
      <x:c r="F154" s="21" t="s">
        <x:v>27</x:v>
      </x:c>
      <x:c r="G154" s="21">
        <x:v>100</x:v>
      </x:c>
      <x:c r="H154" s="21">
        <x:v>0</x:v>
      </x:c>
      <x:c r="I154" s="28" t="s">
        <x:v>176</x:v>
      </x:c>
    </x:row>
    <x:row r="155">
      <x:c r="A155" t="s">
        <x:v>174</x:v>
      </x:c>
      <x:c r="B155" t="s">
        <x:v>177</x:v>
      </x:c>
      <x:c r="C155" t="s">
        <x:v>178</x:v>
      </x:c>
      <x:c r="D155" t="s">
        <x:v>26</x:v>
      </x:c>
      <x:c r="E155">
        <x:v>2.8</x:v>
      </x:c>
      <x:c r="F155" t="s">
        <x:v>27</x:v>
      </x:c>
      <x:c r="G155">
        <x:v>100</x:v>
      </x:c>
      <x:c r="H155">
        <x:v>0</x:v>
      </x:c>
      <x:c r="I155" t="s">
        <x:v>179</x:v>
      </x:c>
    </x:row>
    <x:row r="156">
      <x:c r="A156" t="s">
        <x:v>174</x:v>
      </x:c>
      <x:c r="B156" t="s">
        <x:v>180</x:v>
      </x:c>
      <x:c r="C156" t="s">
        <x:v>181</x:v>
      </x:c>
      <x:c r="D156" t="s">
        <x:v>26</x:v>
      </x:c>
      <x:c r="E156">
        <x:v>4</x:v>
      </x:c>
      <x:c r="F156" t="s">
        <x:v>27</x:v>
      </x:c>
      <x:c r="G156">
        <x:v>100</x:v>
      </x:c>
      <x:c r="H156">
        <x:v>0</x:v>
      </x:c>
      <x:c r="I156" t="s">
        <x:v>179</x:v>
      </x:c>
    </x:row>
    <x:row r="157">
      <x:c r="A157" t="s">
        <x:v>174</x:v>
      </x:c>
      <x:c r="B157" t="s">
        <x:v>182</x:v>
      </x:c>
      <x:c r="C157" t="s">
        <x:v>183</x:v>
      </x:c>
      <x:c r="D157" t="s">
        <x:v>26</x:v>
      </x:c>
      <x:c r="E157">
        <x:v>3.2</x:v>
      </x:c>
      <x:c r="F157" t="s">
        <x:v>27</x:v>
      </x:c>
      <x:c r="G157">
        <x:v>100</x:v>
      </x:c>
      <x:c r="H157">
        <x:v>0</x:v>
      </x:c>
      <x:c r="I157" t="s">
        <x:v>179</x:v>
      </x:c>
    </x:row>
    <x:row r="158">
      <x:c r="A158" t="s">
        <x:v>174</x:v>
      </x:c>
      <x:c r="B158" t="s">
        <x:v>184</x:v>
      </x:c>
      <x:c r="C158" t="s">
        <x:v>185</x:v>
      </x:c>
      <x:c r="D158" t="s">
        <x:v>26</x:v>
      </x:c>
      <x:c r="E158">
        <x:v>1.8</x:v>
      </x:c>
      <x:c r="F158" t="s">
        <x:v>27</x:v>
      </x:c>
      <x:c r="G158">
        <x:v>100</x:v>
      </x:c>
      <x:c r="H158">
        <x:v>0</x:v>
      </x:c>
      <x:c r="I158" t="s">
        <x:v>179</x:v>
      </x:c>
    </x:row>
    <x:row r="159">
      <x:c r="A159" t="s">
        <x:v>174</x:v>
      </x:c>
      <x:c r="B159" t="s">
        <x:v>186</x:v>
      </x:c>
      <x:c r="C159" t="s">
        <x:v>187</x:v>
      </x:c>
      <x:c r="D159" t="s">
        <x:v>26</x:v>
      </x:c>
      <x:c r="E159">
        <x:v>1.6</x:v>
      </x:c>
      <x:c r="F159" t="s">
        <x:v>27</x:v>
      </x:c>
      <x:c r="G159">
        <x:v>100</x:v>
      </x:c>
      <x:c r="H159">
        <x:v>0</x:v>
      </x:c>
      <x:c r="I159" t="s">
        <x:v>179</x:v>
      </x:c>
    </x:row>
    <x:row r="160">
      <x:c r="A160" t="s">
        <x:v>174</x:v>
      </x:c>
      <x:c r="B160" t="s">
        <x:v>188</x:v>
      </x:c>
      <x:c r="C160" t="s">
        <x:v>189</x:v>
      </x:c>
      <x:c r="D160" t="s">
        <x:v>26</x:v>
      </x:c>
      <x:c r="E160">
        <x:v>1.5</x:v>
      </x:c>
      <x:c r="F160" t="s">
        <x:v>27</x:v>
      </x:c>
      <x:c r="G160">
        <x:v>100</x:v>
      </x:c>
      <x:c r="H160">
        <x:v>0</x:v>
      </x:c>
      <x:c r="I160" t="s">
        <x:v>179</x:v>
      </x:c>
    </x:row>
    <x:row r="161">
      <x:c r="A161" t="s">
        <x:v>174</x:v>
      </x:c>
      <x:c r="B161" t="s">
        <x:v>190</x:v>
      </x:c>
      <x:c r="C161" t="s">
        <x:v>191</x:v>
      </x:c>
      <x:c r="D161" t="s">
        <x:v>26</x:v>
      </x:c>
      <x:c r="E161">
        <x:v>3.5</x:v>
      </x:c>
      <x:c r="F161" t="s">
        <x:v>27</x:v>
      </x:c>
      <x:c r="G161">
        <x:v>100</x:v>
      </x:c>
      <x:c r="H161">
        <x:v>0</x:v>
      </x:c>
      <x:c r="I161" t="s">
        <x:v>179</x:v>
      </x:c>
    </x:row>
    <x:row r="162">
      <x:c r="A162" t="s">
        <x:v>174</x:v>
      </x:c>
      <x:c r="B162" t="s">
        <x:v>192</x:v>
      </x:c>
      <x:c r="C162" t="s">
        <x:v>193</x:v>
      </x:c>
      <x:c r="D162" t="s">
        <x:v>26</x:v>
      </x:c>
      <x:c r="E162">
        <x:v>8</x:v>
      </x:c>
      <x:c r="F162" t="s">
        <x:v>27</x:v>
      </x:c>
      <x:c r="G162">
        <x:v>100</x:v>
      </x:c>
      <x:c r="H162">
        <x:v>0</x:v>
      </x:c>
      <x:c r="I162" t="s">
        <x:v>194</x:v>
      </x:c>
    </x:row>
    <x:row r="163">
      <x:c r="A163" t="s">
        <x:v>174</x:v>
      </x:c>
      <x:c r="B163" t="s">
        <x:v>195</x:v>
      </x:c>
      <x:c r="C163" t="s">
        <x:v>196</x:v>
      </x:c>
      <x:c r="D163" t="s">
        <x:v>26</x:v>
      </x:c>
      <x:c r="E163">
        <x:v>6</x:v>
      </x:c>
      <x:c r="F163" t="s">
        <x:v>27</x:v>
      </x:c>
      <x:c r="G163">
        <x:v>100</x:v>
      </x:c>
      <x:c r="H163">
        <x:v>0</x:v>
      </x:c>
      <x:c r="I163" t="s">
        <x:v>194</x:v>
      </x:c>
    </x:row>
    <x:row r="164">
      <x:c r="A164" t="s">
        <x:v>174</x:v>
      </x:c>
      <x:c r="B164" t="s">
        <x:v>197</x:v>
      </x:c>
      <x:c r="C164" t="s">
        <x:v>198</x:v>
      </x:c>
      <x:c r="D164" t="s">
        <x:v>26</x:v>
      </x:c>
      <x:c r="E164">
        <x:v>12</x:v>
      </x:c>
      <x:c r="F164" t="s">
        <x:v>27</x:v>
      </x:c>
      <x:c r="G164">
        <x:v>100</x:v>
      </x:c>
      <x:c r="H164">
        <x:v>0</x:v>
      </x:c>
      <x:c r="I164" t="s">
        <x:v>194</x:v>
      </x:c>
    </x:row>
    <x:row r="165">
      <x:c r="A165" t="s">
        <x:v>174</x:v>
      </x:c>
      <x:c r="B165" t="s">
        <x:v>199</x:v>
      </x:c>
      <x:c r="C165" t="s">
        <x:v>200</x:v>
      </x:c>
      <x:c r="D165" t="s">
        <x:v>26</x:v>
      </x:c>
      <x:c r="E165">
        <x:v>18</x:v>
      </x:c>
      <x:c r="F165" t="s">
        <x:v>27</x:v>
      </x:c>
      <x:c r="G165">
        <x:v>100</x:v>
      </x:c>
      <x:c r="H165">
        <x:v>0</x:v>
      </x:c>
      <x:c r="I165" t="s">
        <x:v>194</x:v>
      </x:c>
    </x:row>
    <x:row r="166">
      <x:c r="A166" t="s">
        <x:v>174</x:v>
      </x:c>
      <x:c r="B166" t="s">
        <x:v>201</x:v>
      </x:c>
      <x:c r="C166" t="s">
        <x:v>202</x:v>
      </x:c>
      <x:c r="D166" t="s">
        <x:v>26</x:v>
      </x:c>
      <x:c r="E166">
        <x:v>1.8</x:v>
      </x:c>
      <x:c r="F166" t="s">
        <x:v>27</x:v>
      </x:c>
      <x:c r="G166">
        <x:v>100</x:v>
      </x:c>
      <x:c r="H166">
        <x:v>0</x:v>
      </x:c>
      <x:c r="I166" t="s">
        <x:v>203</x:v>
      </x:c>
    </x:row>
    <x:row r="167">
      <x:c r="A167" t="s">
        <x:v>174</x:v>
      </x:c>
      <x:c r="B167" t="s">
        <x:v>204</x:v>
      </x:c>
      <x:c r="C167" t="s">
        <x:v>202</x:v>
      </x:c>
      <x:c r="D167" t="s">
        <x:v>26</x:v>
      </x:c>
      <x:c r="E167">
        <x:v>5.5</x:v>
      </x:c>
      <x:c r="F167" t="s">
        <x:v>27</x:v>
      </x:c>
      <x:c r="G167">
        <x:v>100</x:v>
      </x:c>
      <x:c r="H167">
        <x:v>0</x:v>
      </x:c>
      <x:c r="I167" t="s">
        <x:v>203</x:v>
      </x:c>
    </x:row>
    <x:row r="168">
      <x:c r="A168" t="s">
        <x:v>174</x:v>
      </x:c>
      <x:c r="B168" t="s">
        <x:v>205</x:v>
      </x:c>
      <x:c r="C168" t="s">
        <x:v>206</x:v>
      </x:c>
      <x:c r="D168" t="s">
        <x:v>88</x:v>
      </x:c>
      <x:c r="E168">
        <x:v>22</x:v>
      </x:c>
      <x:c r="F168" t="s">
        <x:v>27</x:v>
      </x:c>
      <x:c r="G168">
        <x:v>100</x:v>
      </x:c>
      <x:c r="H168">
        <x:v>0</x:v>
      </x:c>
      <x:c r="I168" t="s">
        <x:v>207</x:v>
      </x:c>
    </x:row>
    <x:row r="169">
      <x:c r="A169" t="s">
        <x:v>174</x:v>
      </x:c>
      <x:c r="B169" t="s">
        <x:v>208</x:v>
      </x:c>
      <x:c r="C169" t="s">
        <x:v>206</x:v>
      </x:c>
      <x:c r="D169" t="s">
        <x:v>88</x:v>
      </x:c>
      <x:c r="E169">
        <x:v>11</x:v>
      </x:c>
      <x:c r="F169" t="s">
        <x:v>27</x:v>
      </x:c>
      <x:c r="G169">
        <x:v>100</x:v>
      </x:c>
      <x:c r="H169">
        <x:v>0</x:v>
      </x:c>
      <x:c r="I169" t="s">
        <x:v>207</x:v>
      </x:c>
    </x:row>
    <x:row r="170">
      <x:c r="A170" t="s">
        <x:v>174</x:v>
      </x:c>
      <x:c r="B170" t="s">
        <x:v>209</x:v>
      </x:c>
      <x:c r="C170" t="s">
        <x:v>210</x:v>
      </x:c>
      <x:c r="D170" t="s">
        <x:v>88</x:v>
      </x:c>
      <x:c r="E170">
        <x:v>14</x:v>
      </x:c>
      <x:c r="F170" t="s">
        <x:v>27</x:v>
      </x:c>
      <x:c r="G170">
        <x:v>100</x:v>
      </x:c>
      <x:c r="H170">
        <x:v>0</x:v>
      </x:c>
      <x:c r="I170" t="s">
        <x:v>207</x:v>
      </x:c>
    </x:row>
    <x:row r="171">
      <x:c r="A171" t="s">
        <x:v>174</x:v>
      </x:c>
      <x:c r="B171" t="s">
        <x:v>211</x:v>
      </x:c>
      <x:c r="C171" t="s">
        <x:v>212</x:v>
      </x:c>
      <x:c r="D171" t="s">
        <x:v>93</x:v>
      </x:c>
      <x:c r="E171">
        <x:v>28</x:v>
      </x:c>
      <x:c r="F171" t="s">
        <x:v>27</x:v>
      </x:c>
      <x:c r="G171">
        <x:v>100</x:v>
      </x:c>
      <x:c r="H171">
        <x:v>0</x:v>
      </x:c>
      <x:c r="I171" t="s">
        <x:v>207</x:v>
      </x:c>
    </x:row>
    <x:row r="172">
      <x:c r="A172" s="22"/>
      <x:c r="B172" s="22"/>
      <x:c r="C172" s="22"/>
      <x:c r="D172" s="22"/>
      <x:c r="E172" s="30"/>
      <x:c r="F172" s="22"/>
      <x:c r="G172" s="22"/>
      <x:c r="H172" s="22"/>
      <x:c r="I172" s="28"/>
    </x:row>
    <x:row r="173">
      <x:c r="A173" s="22"/>
      <x:c r="B173" s="22"/>
      <x:c r="C173" s="22"/>
      <x:c r="D173" s="22"/>
      <x:c r="E173" s="30"/>
      <x:c r="F173" s="22"/>
      <x:c r="G173" s="22"/>
      <x:c r="H173" s="22"/>
      <x:c r="I173" s="28"/>
    </x:row>
    <x:row r="174" ht="15">
      <x:c r="A174" s="22" t="s">
        <x:v>213</x:v>
      </x:c>
      <x:c r="B174" s="22" t="s">
        <x:v>214</x:v>
      </x:c>
      <x:c r="C174" s="22" t="s">
        <x:v>87</x:v>
      </x:c>
      <x:c r="D174" s="22" t="s">
        <x:v>215</x:v>
      </x:c>
      <x:c r="E174" s="26">
        <x:v>0.06</x:v>
      </x:c>
      <x:c r="F174" s="21" t="s">
        <x:v>27</x:v>
      </x:c>
      <x:c r="G174" s="21">
        <x:v>100</x:v>
      </x:c>
      <x:c r="H174" s="21">
        <x:v>0</x:v>
      </x:c>
      <x:c r="I174" s="28"/>
    </x:row>
    <x:row r="175" ht="15">
      <x:c r="A175" s="22" t="s">
        <x:v>213</x:v>
      </x:c>
      <x:c r="B175" s="22" t="s">
        <x:v>216</x:v>
      </x:c>
      <x:c r="C175" s="22" t="s">
        <x:v>87</x:v>
      </x:c>
      <x:c r="D175" s="22" t="s">
        <x:v>215</x:v>
      </x:c>
      <x:c r="E175" s="26">
        <x:v>0.04</x:v>
      </x:c>
      <x:c r="F175" s="21" t="s">
        <x:v>27</x:v>
      </x:c>
      <x:c r="G175" s="21">
        <x:v>100</x:v>
      </x:c>
      <x:c r="H175" s="21">
        <x:v>0</x:v>
      </x:c>
      <x:c r="I175" s="28"/>
    </x:row>
    <x:row r="176" ht="15">
      <x:c r="A176" s="22" t="s">
        <x:v>213</x:v>
      </x:c>
      <x:c r="B176" s="22" t="s">
        <x:v>217</x:v>
      </x:c>
      <x:c r="C176" s="22" t="s">
        <x:v>87</x:v>
      </x:c>
      <x:c r="D176" s="22" t="s">
        <x:v>26</x:v>
      </x:c>
      <x:c r="E176" s="26">
        <x:v>1.2</x:v>
      </x:c>
      <x:c r="F176" s="21" t="s">
        <x:v>27</x:v>
      </x:c>
      <x:c r="G176" s="21">
        <x:v>100</x:v>
      </x:c>
      <x:c r="H176" s="21">
        <x:v>0</x:v>
      </x:c>
      <x:c r="I176" s="28" t="s">
        <x:v>218</x:v>
      </x:c>
    </x:row>
    <x:row r="177" ht="15">
      <x:c r="A177" s="22" t="s">
        <x:v>213</x:v>
      </x:c>
      <x:c r="B177" s="22" t="s">
        <x:v>219</x:v>
      </x:c>
      <x:c r="C177" s="22" t="s">
        <x:v>87</x:v>
      </x:c>
      <x:c r="D177" s="22" t="s">
        <x:v>215</x:v>
      </x:c>
      <x:c r="E177" s="26">
        <x:v>0.05</x:v>
      </x:c>
      <x:c r="F177" s="21" t="s">
        <x:v>27</x:v>
      </x:c>
      <x:c r="G177" s="21">
        <x:v>100</x:v>
      </x:c>
      <x:c r="H177" s="21">
        <x:v>0</x:v>
      </x:c>
      <x:c r="I177" s="28"/>
    </x:row>
    <x:row r="178">
      <x:c r="A178" s="22" t="str">
        <x:v>绝缘材料</x:v>
      </x:c>
      <x:c r="B178" s="22" t="str">
        <x:v>玻璃纤维套管</x:v>
      </x:c>
      <x:c r="C178" s="22" t="str">
        <x:v>φ10mm，耐高温绝缘级</x:v>
      </x:c>
      <x:c r="D178" s="22" t="str">
        <x:v>m</x:v>
      </x:c>
      <x:c r="E178" s="30" t="n">
        <x:v>2</x:v>
      </x:c>
      <x:c r="F178" s="22" t="str">
        <x:v>N</x:v>
      </x:c>
      <x:c r="G178" s="22" t="n">
        <x:v>95</x:v>
      </x:c>
      <x:c r="H178" s="22" t="n">
        <x:v>0</x:v>
      </x:c>
      <x:c r="I178" s="98" t="str">
        <x:v>2026-08国内批量概算；口径、涂层和耐温等级影响大，需RFQ；https://krempel.com/en/products</x:v>
      </x:c>
    </x:row>
    <x:row r="179">
      <x:c r="A179" s="22" t="str">
        <x:v>绝缘材料</x:v>
      </x:c>
      <x:c r="B179" s="22" t="str">
        <x:v>硅橡胶玻纤套管</x:v>
      </x:c>
      <x:c r="C179" s="22" t="str">
        <x:v>φ10mm，耐高温阻燃级</x:v>
      </x:c>
      <x:c r="D179" s="22" t="str">
        <x:v>m</x:v>
      </x:c>
      <x:c r="E179" s="30" t="n">
        <x:v>3.5</x:v>
      </x:c>
      <x:c r="F179" s="22" t="str">
        <x:v>N</x:v>
      </x:c>
      <x:c r="G179" s="22" t="n">
        <x:v>95</x:v>
      </x:c>
      <x:c r="H179" s="22" t="n">
        <x:v>0</x:v>
      </x:c>
      <x:c r="I179" s="98" t="str">
        <x:v>2026-08国内批量概算；口径、硅胶涂覆量和耐温等级影响大，需RFQ；https://krempel.com/en/products</x:v>
      </x:c>
    </x:row>
    <x:row r="180">
      <x:c r="A180" s="22" t="str">
        <x:v>绝缘材料</x:v>
      </x:c>
      <x:c r="B180" s="22" t="str">
        <x:v>PA波纹管</x:v>
      </x:c>
      <x:c r="C180" s="22" t="str">
        <x:v>φ10mm，汽车线束阻燃级</x:v>
      </x:c>
      <x:c r="D180" s="22" t="str">
        <x:v>m</x:v>
      </x:c>
      <x:c r="E180" s="30" t="n">
        <x:v>1</x:v>
      </x:c>
      <x:c r="F180" s="22" t="str">
        <x:v>N</x:v>
      </x:c>
      <x:c r="G180" s="22" t="n">
        <x:v>95</x:v>
      </x:c>
      <x:c r="H180" s="22" t="n">
        <x:v>0</x:v>
      </x:c>
      <x:c r="I180" s="98" t="str">
        <x:v>2026-08国内汽车线束级批量概算；口径、开口形式、阻燃和耐温等级影响大，需RFQ；https://www.tesa.com/en-us/industry/markets/wire-harnessing</x:v>
      </x:c>
    </x:row>
    <x:row r="181">
      <x:c r="A181" s="22" t="str">
        <x:v>绝缘材料</x:v>
      </x:c>
      <x:c r="B181" s="22" t="str">
        <x:v>汇流排PVC绝缘套管</x:v>
      </x:c>
      <x:c r="C181" s="22" t="str">
        <x:v>平口20mm，阻燃级</x:v>
      </x:c>
      <x:c r="D181" s="22" t="str">
        <x:v>m</x:v>
      </x:c>
      <x:c r="E181" s="30" t="n">
        <x:v>1.5</x:v>
      </x:c>
      <x:c r="F181" s="22" t="str">
        <x:v>N</x:v>
      </x:c>
      <x:c r="G181" s="22" t="n">
        <x:v>95</x:v>
      </x:c>
      <x:c r="H181" s="22" t="n">
        <x:v>0</x:v>
      </x:c>
      <x:c r="I181" s="98" t="str">
        <x:v>2026-08国内批量概算；展开宽度、壁厚、颜色和阻燃等级影响大，需RFQ；https://www.te.com/en/products/heat-shrink-tubing/dual-wall-tubing.html</x:v>
      </x:c>
    </x:row>
    <x:row r="182">
      <x:c r="A182" s="22" t="str">
        <x:v>绝缘材料</x:v>
      </x:c>
      <x:c r="B182" s="22" t="str">
        <x:v>陶瓷纤维绝缘纸</x:v>
      </x:c>
      <x:c r="C182" s="22" t="str">
        <x:v>1.0mm，耐高温隔热级</x:v>
      </x:c>
      <x:c r="D182" s="22" t="str">
        <x:v>m2</x:v>
      </x:c>
      <x:c r="E182" s="30" t="n">
        <x:v>18</x:v>
      </x:c>
      <x:c r="F182" s="22" t="str">
        <x:v>N</x:v>
      </x:c>
      <x:c r="G182" s="22" t="n">
        <x:v>85</x:v>
      </x:c>
      <x:c r="H182" s="22" t="n">
        <x:v>0</x:v>
      </x:c>
      <x:c r="I182" s="98" t="str">
        <x:v>2026-08国内批量概算；厚度、密度、耐温和模切损耗影响大，需RFQ；https://krempel.com/en/products</x:v>
      </x:c>
    </x:row>
    <x:row r="183">
      <x:c r="A183" s="22" t="str">
        <x:v>绝缘材料</x:v>
      </x:c>
      <x:c r="B183" s="22" t="str">
        <x:v>气凝胶隔热毡</x:v>
      </x:c>
      <x:c r="C183" s="22" t="str">
        <x:v>2.0mm，电芯热隔离级</x:v>
      </x:c>
      <x:c r="D183" s="22" t="str">
        <x:v>m2</x:v>
      </x:c>
      <x:c r="E183" s="30" t="n">
        <x:v>70</x:v>
      </x:c>
      <x:c r="F183" s="22" t="str">
        <x:v>N</x:v>
      </x:c>
      <x:c r="G183" s="22" t="n">
        <x:v>85</x:v>
      </x:c>
      <x:c r="H183" s="22" t="n">
        <x:v>0</x:v>
      </x:c>
      <x:c r="I183" s="98" t="str">
        <x:v>2026-08国内动力电池级批量概算；厚度、导热系数、封装和阻燃等级影响大，需RFQ；https://krempel.com/en/products</x:v>
      </x:c>
    </x:row>
    <x:row r="184" ht="28.299999237060547">
      <x:c r="A184" s="22" t="s">
        <x:v>220</x:v>
      </x:c>
      <x:c r="B184" s="22" t="s">
        <x:v>221</x:v>
      </x:c>
      <x:c r="C184" s="22" t="s">
        <x:v>222</x:v>
      </x:c>
      <x:c r="D184" s="22" t="s">
        <x:v>223</x:v>
      </x:c>
      <x:c r="E184" s="26">
        <x:v>0.02</x:v>
      </x:c>
      <x:c r="F184" s="21" t="s">
        <x:v>27</x:v>
      </x:c>
      <x:c r="G184" s="21">
        <x:v>100</x:v>
      </x:c>
      <x:c r="H184" s="21">
        <x:v>0</x:v>
      </x:c>
      <x:c r="I184" s="28" t="s">
        <x:v>224</x:v>
      </x:c>
    </x:row>
    <x:row r="185" ht="28.299999237060547">
      <x:c r="A185" s="22" t="s">
        <x:v>220</x:v>
      </x:c>
      <x:c r="B185" s="22" t="s">
        <x:v>225</x:v>
      </x:c>
      <x:c r="C185" s="22" t="s">
        <x:v>222</x:v>
      </x:c>
      <x:c r="D185" s="22" t="s">
        <x:v>223</x:v>
      </x:c>
      <x:c r="E185" s="26">
        <x:v>2.7E-2</x:v>
      </x:c>
      <x:c r="F185" s="21" t="s">
        <x:v>27</x:v>
      </x:c>
      <x:c r="G185" s="21">
        <x:v>100</x:v>
      </x:c>
      <x:c r="H185" s="21">
        <x:v>0</x:v>
      </x:c>
      <x:c r="I185" s="28" t="s">
        <x:v>224</x:v>
      </x:c>
    </x:row>
    <x:row r="186" ht="28.299999237060547">
      <x:c r="A186" s="22" t="s">
        <x:v>220</x:v>
      </x:c>
      <x:c r="B186" s="22" t="s">
        <x:v>226</x:v>
      </x:c>
      <x:c r="C186" s="22" t="s">
        <x:v>222</x:v>
      </x:c>
      <x:c r="D186" s="22" t="s">
        <x:v>223</x:v>
      </x:c>
      <x:c r="E186" s="26">
        <x:v>2.5999999999999999E-2</x:v>
      </x:c>
      <x:c r="F186" s="21" t="s">
        <x:v>27</x:v>
      </x:c>
      <x:c r="G186" s="21">
        <x:v>100</x:v>
      </x:c>
      <x:c r="H186" s="21">
        <x:v>0</x:v>
      </x:c>
      <x:c r="I186" s="28" t="s">
        <x:v>224</x:v>
      </x:c>
    </x:row>
    <x:row r="187" ht="28.299999237060547">
      <x:c r="A187" s="22" t="s">
        <x:v>220</x:v>
      </x:c>
      <x:c r="B187" s="22" t="s">
        <x:v>227</x:v>
      </x:c>
      <x:c r="C187" s="22" t="s">
        <x:v>222</x:v>
      </x:c>
      <x:c r="D187" s="22" t="s">
        <x:v>223</x:v>
      </x:c>
      <x:c r="E187" s="26">
        <x:v>2.9000000000000001E-2</x:v>
      </x:c>
      <x:c r="F187" s="21" t="s">
        <x:v>27</x:v>
      </x:c>
      <x:c r="G187" s="21">
        <x:v>100</x:v>
      </x:c>
      <x:c r="H187" s="21">
        <x:v>0</x:v>
      </x:c>
      <x:c r="I187" s="28" t="s">
        <x:v>224</x:v>
      </x:c>
    </x:row>
    <x:row r="188" ht="28.299999237060547">
      <x:c r="A188" s="22" t="s">
        <x:v>220</x:v>
      </x:c>
      <x:c r="B188" s="22" t="s">
        <x:v>228</x:v>
      </x:c>
      <x:c r="C188" s="22" t="s">
        <x:v>222</x:v>
      </x:c>
      <x:c r="D188" s="22" t="s">
        <x:v>223</x:v>
      </x:c>
      <x:c r="E188" s="26">
        <x:v>3.2000000000000001E-2</x:v>
      </x:c>
      <x:c r="F188" s="21" t="s">
        <x:v>27</x:v>
      </x:c>
      <x:c r="G188" s="21">
        <x:v>100</x:v>
      </x:c>
      <x:c r="H188" s="21">
        <x:v>0</x:v>
      </x:c>
      <x:c r="I188" s="28" t="s">
        <x:v>224</x:v>
      </x:c>
    </x:row>
    <x:row r="189" ht="28.299999237060547">
      <x:c r="A189" s="22" t="s">
        <x:v>220</x:v>
      </x:c>
      <x:c r="B189" s="22" t="s">
        <x:v>229</x:v>
      </x:c>
      <x:c r="C189" s="22" t="s">
        <x:v>222</x:v>
      </x:c>
      <x:c r="D189" s="22" t="s">
        <x:v>223</x:v>
      </x:c>
      <x:c r="E189" s="26">
        <x:v>3.5999999999999997E-2</x:v>
      </x:c>
      <x:c r="F189" s="21" t="s">
        <x:v>27</x:v>
      </x:c>
      <x:c r="G189" s="21">
        <x:v>100</x:v>
      </x:c>
      <x:c r="H189" s="21">
        <x:v>0</x:v>
      </x:c>
      <x:c r="I189" s="28" t="s">
        <x:v>224</x:v>
      </x:c>
    </x:row>
    <x:row r="190" ht="28.299999237060547">
      <x:c r="A190" s="22" t="s">
        <x:v>220</x:v>
      </x:c>
      <x:c r="B190" s="22" t="s">
        <x:v>230</x:v>
      </x:c>
      <x:c r="C190" s="22" t="s">
        <x:v>222</x:v>
      </x:c>
      <x:c r="D190" s="22" t="s">
        <x:v>223</x:v>
      </x:c>
      <x:c r="E190" s="26">
        <x:v>1.6E-2</x:v>
      </x:c>
      <x:c r="F190" s="21" t="s">
        <x:v>27</x:v>
      </x:c>
      <x:c r="G190" s="21">
        <x:v>100</x:v>
      </x:c>
      <x:c r="H190" s="21">
        <x:v>0</x:v>
      </x:c>
      <x:c r="I190" s="28" t="s">
        <x:v>224</x:v>
      </x:c>
    </x:row>
    <x:row r="191" ht="28.299999237060547">
      <x:c r="A191" s="22" t="s">
        <x:v>220</x:v>
      </x:c>
      <x:c r="B191" s="22" t="s">
        <x:v>231</x:v>
      </x:c>
      <x:c r="C191" s="22" t="s">
        <x:v>222</x:v>
      </x:c>
      <x:c r="D191" s="22" t="s">
        <x:v>223</x:v>
      </x:c>
      <x:c r="E191" s="26">
        <x:v>2.5000000000000001E-2</x:v>
      </x:c>
      <x:c r="F191" s="21" t="s">
        <x:v>27</x:v>
      </x:c>
      <x:c r="G191" s="21">
        <x:v>100</x:v>
      </x:c>
      <x:c r="H191" s="21">
        <x:v>0</x:v>
      </x:c>
      <x:c r="I191" s="28" t="s">
        <x:v>224</x:v>
      </x:c>
    </x:row>
    <x:row r="192" ht="28.299999237060547">
      <x:c r="A192" s="22" t="s">
        <x:v>220</x:v>
      </x:c>
      <x:c r="B192" s="22" t="s">
        <x:v>232</x:v>
      </x:c>
      <x:c r="C192" s="22" t="s">
        <x:v>222</x:v>
      </x:c>
      <x:c r="D192" s="22" t="s">
        <x:v>223</x:v>
      </x:c>
      <x:c r="E192" s="26">
        <x:v>2.1999999999999999E-2</x:v>
      </x:c>
      <x:c r="F192" s="21" t="s">
        <x:v>27</x:v>
      </x:c>
      <x:c r="G192" s="21">
        <x:v>100</x:v>
      </x:c>
      <x:c r="H192" s="21">
        <x:v>0</x:v>
      </x:c>
      <x:c r="I192" s="28" t="s">
        <x:v>224</x:v>
      </x:c>
    </x:row>
    <x:row r="193" ht="28.299999237060547">
      <x:c r="A193" s="22" t="s">
        <x:v>220</x:v>
      </x:c>
      <x:c r="B193" s="22" t="s">
        <x:v>233</x:v>
      </x:c>
      <x:c r="C193" s="22" t="s">
        <x:v>222</x:v>
      </x:c>
      <x:c r="D193" s="22" t="s">
        <x:v>223</x:v>
      </x:c>
      <x:c r="E193" s="26">
        <x:v>2.5999999999999999E-2</x:v>
      </x:c>
      <x:c r="F193" s="21" t="s">
        <x:v>27</x:v>
      </x:c>
      <x:c r="G193" s="21">
        <x:v>100</x:v>
      </x:c>
      <x:c r="H193" s="21">
        <x:v>0</x:v>
      </x:c>
      <x:c r="I193" s="28" t="s">
        <x:v>224</x:v>
      </x:c>
    </x:row>
    <x:row r="194" ht="28.299999237060547">
      <x:c r="A194" s="22" t="s">
        <x:v>220</x:v>
      </x:c>
      <x:c r="B194" s="22" t="s">
        <x:v>234</x:v>
      </x:c>
      <x:c r="C194" s="22" t="s">
        <x:v>222</x:v>
      </x:c>
      <x:c r="D194" s="22" t="s">
        <x:v>223</x:v>
      </x:c>
      <x:c r="E194" s="26">
        <x:v>2.3E-2</x:v>
      </x:c>
      <x:c r="F194" s="21" t="s">
        <x:v>27</x:v>
      </x:c>
      <x:c r="G194" s="21">
        <x:v>100</x:v>
      </x:c>
      <x:c r="H194" s="21">
        <x:v>0</x:v>
      </x:c>
      <x:c r="I194" s="28" t="s">
        <x:v>224</x:v>
      </x:c>
    </x:row>
    <x:row r="195" ht="28.299999237060547">
      <x:c r="A195" s="22" t="s">
        <x:v>220</x:v>
      </x:c>
      <x:c r="B195" s="22" t="s">
        <x:v>235</x:v>
      </x:c>
      <x:c r="C195" s="22" t="s">
        <x:v>222</x:v>
      </x:c>
      <x:c r="D195" s="22" t="s">
        <x:v>223</x:v>
      </x:c>
      <x:c r="E195" s="26">
        <x:v>2.9000000000000001E-2</x:v>
      </x:c>
      <x:c r="F195" s="21" t="s">
        <x:v>27</x:v>
      </x:c>
      <x:c r="G195" s="21">
        <x:v>100</x:v>
      </x:c>
      <x:c r="H195" s="21">
        <x:v>0</x:v>
      </x:c>
      <x:c r="I195" s="28" t="s">
        <x:v>224</x:v>
      </x:c>
    </x:row>
    <x:row r="196" ht="28.299999237060547">
      <x:c r="A196" s="22" t="s">
        <x:v>220</x:v>
      </x:c>
      <x:c r="B196" s="22" t="s">
        <x:v>236</x:v>
      </x:c>
      <x:c r="C196" s="22" t="s">
        <x:v>222</x:v>
      </x:c>
      <x:c r="D196" s="22" t="s">
        <x:v>223</x:v>
      </x:c>
      <x:c r="E196" s="26">
        <x:v>0.01</x:v>
      </x:c>
      <x:c r="F196" s="21" t="s">
        <x:v>27</x:v>
      </x:c>
      <x:c r="G196" s="21">
        <x:v>100</x:v>
      </x:c>
      <x:c r="H196" s="21">
        <x:v>0</x:v>
      </x:c>
      <x:c r="I196" s="28" t="s">
        <x:v>224</x:v>
      </x:c>
    </x:row>
    <x:row r="197" ht="28.299999237060547">
      <x:c r="A197" s="22" t="s">
        <x:v>220</x:v>
      </x:c>
      <x:c r="B197" s="22" t="s">
        <x:v>237</x:v>
      </x:c>
      <x:c r="C197" s="22" t="s">
        <x:v>222</x:v>
      </x:c>
      <x:c r="D197" s="22" t="s">
        <x:v>223</x:v>
      </x:c>
      <x:c r="E197" s="26">
        <x:v>0.22</x:v>
      </x:c>
      <x:c r="F197" s="21" t="s">
        <x:v>27</x:v>
      </x:c>
      <x:c r="G197" s="21">
        <x:v>100</x:v>
      </x:c>
      <x:c r="H197" s="21">
        <x:v>0</x:v>
      </x:c>
      <x:c r="I197" s="28" t="s">
        <x:v>224</x:v>
      </x:c>
    </x:row>
    <x:row r="198" ht="28.299999237060547">
      <x:c r="A198" s="22" t="s">
        <x:v>220</x:v>
      </x:c>
      <x:c r="B198" s="22" t="s">
        <x:v>238</x:v>
      </x:c>
      <x:c r="C198" s="22" t="s">
        <x:v>222</x:v>
      </x:c>
      <x:c r="D198" s="22" t="s">
        <x:v>223</x:v>
      </x:c>
      <x:c r="E198" s="26">
        <x:v>8.5000000000000006E-2</x:v>
      </x:c>
      <x:c r="F198" s="21" t="s">
        <x:v>27</x:v>
      </x:c>
      <x:c r="G198" s="21">
        <x:v>100</x:v>
      </x:c>
      <x:c r="H198" s="21">
        <x:v>0</x:v>
      </x:c>
      <x:c r="I198" s="28" t="s">
        <x:v>224</x:v>
      </x:c>
    </x:row>
    <x:row r="199" ht="28.299999237060547">
      <x:c r="A199" s="22" t="s">
        <x:v>220</x:v>
      </x:c>
      <x:c r="B199" s="22" t="s">
        <x:v>239</x:v>
      </x:c>
      <x:c r="C199" s="22" t="s">
        <x:v>222</x:v>
      </x:c>
      <x:c r="D199" s="22" t="s">
        <x:v>223</x:v>
      </x:c>
      <x:c r="E199" s="26">
        <x:v>1.0999999999999999E-2</x:v>
      </x:c>
      <x:c r="F199" s="21" t="s">
        <x:v>27</x:v>
      </x:c>
      <x:c r="G199" s="21">
        <x:v>100</x:v>
      </x:c>
      <x:c r="H199" s="21">
        <x:v>0</x:v>
      </x:c>
      <x:c r="I199" s="28" t="s">
        <x:v>224</x:v>
      </x:c>
    </x:row>
    <x:row r="200" ht="28.299999237060547">
      <x:c r="A200" s="22" t="s">
        <x:v>220</x:v>
      </x:c>
      <x:c r="B200" s="22" t="s">
        <x:v>240</x:v>
      </x:c>
      <x:c r="C200" s="22" t="s">
        <x:v>222</x:v>
      </x:c>
      <x:c r="D200" s="22" t="s">
        <x:v>223</x:v>
      </x:c>
      <x:c r="E200" s="26">
        <x:v>0.01</x:v>
      </x:c>
      <x:c r="F200" s="21" t="s">
        <x:v>27</x:v>
      </x:c>
      <x:c r="G200" s="21">
        <x:v>100</x:v>
      </x:c>
      <x:c r="H200" s="21">
        <x:v>0</x:v>
      </x:c>
      <x:c r="I200" s="28" t="s">
        <x:v>224</x:v>
      </x:c>
    </x:row>
    <x:row r="201" ht="28.299999237060547">
      <x:c r="A201" s="22" t="s">
        <x:v>220</x:v>
      </x:c>
      <x:c r="B201" s="22" t="s">
        <x:v>241</x:v>
      </x:c>
      <x:c r="C201" s="22" t="s">
        <x:v>222</x:v>
      </x:c>
      <x:c r="D201" s="22" t="s">
        <x:v>223</x:v>
      </x:c>
      <x:c r="E201" s="26">
        <x:v>8.9999999999999993E-3</x:v>
      </x:c>
      <x:c r="F201" s="21" t="s">
        <x:v>27</x:v>
      </x:c>
      <x:c r="G201" s="21">
        <x:v>100</x:v>
      </x:c>
      <x:c r="H201" s="21">
        <x:v>0</x:v>
      </x:c>
      <x:c r="I201" s="28" t="s">
        <x:v>224</x:v>
      </x:c>
    </x:row>
    <x:row r="202" ht="28.299999237060547">
      <x:c r="A202" s="22" t="s">
        <x:v>220</x:v>
      </x:c>
      <x:c r="B202" s="22" t="s">
        <x:v>242</x:v>
      </x:c>
      <x:c r="C202" s="22" t="s">
        <x:v>222</x:v>
      </x:c>
      <x:c r="D202" s="22" t="s">
        <x:v>223</x:v>
      </x:c>
      <x:c r="E202" s="26">
        <x:v>3.2000000000000001E-2</x:v>
      </x:c>
      <x:c r="F202" s="21" t="s">
        <x:v>27</x:v>
      </x:c>
      <x:c r="G202" s="21">
        <x:v>100</x:v>
      </x:c>
      <x:c r="H202" s="21">
        <x:v>0</x:v>
      </x:c>
      <x:c r="I202" s="28" t="s">
        <x:v>224</x:v>
      </x:c>
    </x:row>
    <x:row r="203" ht="28.299999237060547">
      <x:c r="A203" s="22" t="s">
        <x:v>220</x:v>
      </x:c>
      <x:c r="B203" s="22" t="s">
        <x:v>243</x:v>
      </x:c>
      <x:c r="C203" s="22" t="s">
        <x:v>222</x:v>
      </x:c>
      <x:c r="D203" s="22" t="s">
        <x:v>223</x:v>
      </x:c>
      <x:c r="E203" s="26">
        <x:v>0.02</x:v>
      </x:c>
      <x:c r="F203" s="21" t="s">
        <x:v>27</x:v>
      </x:c>
      <x:c r="G203" s="21">
        <x:v>100</x:v>
      </x:c>
      <x:c r="H203" s="21">
        <x:v>0</x:v>
      </x:c>
      <x:c r="I203" s="28" t="s">
        <x:v>224</x:v>
      </x:c>
    </x:row>
    <x:row r="204" ht="28.299999237060547">
      <x:c r="A204" s="22" t="s">
        <x:v>220</x:v>
      </x:c>
      <x:c r="B204" s="22" t="s">
        <x:v>244</x:v>
      </x:c>
      <x:c r="C204" s="22" t="s">
        <x:v>222</x:v>
      </x:c>
      <x:c r="D204" s="22" t="s">
        <x:v>223</x:v>
      </x:c>
      <x:c r="E204" s="26">
        <x:v>1.7999999999999999E-2</x:v>
      </x:c>
      <x:c r="F204" s="21" t="s">
        <x:v>27</x:v>
      </x:c>
      <x:c r="G204" s="21">
        <x:v>100</x:v>
      </x:c>
      <x:c r="H204" s="21">
        <x:v>0</x:v>
      </x:c>
      <x:c r="I204" s="28" t="s">
        <x:v>224</x:v>
      </x:c>
    </x:row>
    <x:row r="205">
      <x:c r="A205" s="24" t="s">
        <x:v>220</x:v>
      </x:c>
      <x:c r="B205" s="24" t="s">
        <x:v>245</x:v>
      </x:c>
      <x:c r="C205" s="24" t="s">
        <x:v>246</x:v>
      </x:c>
      <x:c r="D205" s="24" t="s">
        <x:v>223</x:v>
      </x:c>
      <x:c r="E205" s="26">
        <x:v>3.3000000000000002E-2</x:v>
      </x:c>
      <x:c r="F205" s="24" t="s">
        <x:v>27</x:v>
      </x:c>
      <x:c r="G205" s="24">
        <x:v>100</x:v>
      </x:c>
      <x:c r="H205" s="24">
        <x:v>0</x:v>
      </x:c>
      <x:c r="I205" s="25" t="s">
        <x:v>247</x:v>
      </x:c>
    </x:row>
    <x:row r="206">
      <x:c r="A206" s="24" t="s">
        <x:v>220</x:v>
      </x:c>
      <x:c r="B206" s="24" t="s">
        <x:v>248</x:v>
      </x:c>
      <x:c r="C206" s="24" t="s">
        <x:v>249</x:v>
      </x:c>
      <x:c r="D206" s="24" t="s">
        <x:v>223</x:v>
      </x:c>
      <x:c r="E206" s="26">
        <x:v>7.4999999999999997E-2</x:v>
      </x:c>
      <x:c r="F206" s="24" t="s">
        <x:v>27</x:v>
      </x:c>
      <x:c r="G206" s="24">
        <x:v>100</x:v>
      </x:c>
      <x:c r="H206" s="24">
        <x:v>0</x:v>
      </x:c>
      <x:c r="I206" s="25" t="s">
        <x:v>247</x:v>
      </x:c>
    </x:row>
    <x:row r="207">
      <x:c r="A207" s="24" t="s">
        <x:v>220</x:v>
      </x:c>
      <x:c r="B207" s="24" t="s">
        <x:v>250</x:v>
      </x:c>
      <x:c r="C207" s="24" t="s">
        <x:v>251</x:v>
      </x:c>
      <x:c r="D207" s="24" t="s">
        <x:v>223</x:v>
      </x:c>
      <x:c r="E207" s="26">
        <x:v>6.5000000000000002E-2</x:v>
      </x:c>
      <x:c r="F207" s="24" t="s">
        <x:v>27</x:v>
      </x:c>
      <x:c r="G207" s="24">
        <x:v>100</x:v>
      </x:c>
      <x:c r="H207" s="24">
        <x:v>0</x:v>
      </x:c>
      <x:c r="I207" s="25" t="s">
        <x:v>252</x:v>
      </x:c>
    </x:row>
    <x:row r="208">
      <x:c r="A208" s="24" t="s">
        <x:v>220</x:v>
      </x:c>
      <x:c r="B208" s="24" t="s">
        <x:v>253</x:v>
      </x:c>
      <x:c r="C208" s="24" t="s">
        <x:v>254</x:v>
      </x:c>
      <x:c r="D208" s="24" t="s">
        <x:v>223</x:v>
      </x:c>
      <x:c r="E208" s="26">
        <x:v>0.45</x:v>
      </x:c>
      <x:c r="F208" s="24" t="s">
        <x:v>27</x:v>
      </x:c>
      <x:c r="G208" s="24">
        <x:v>100</x:v>
      </x:c>
      <x:c r="H208" s="24">
        <x:v>0</x:v>
      </x:c>
      <x:c r="I208" s="25" t="s">
        <x:v>255</x:v>
      </x:c>
    </x:row>
    <x:row r="209">
      <x:c r="A209" s="22"/>
      <x:c r="B209" s="22"/>
      <x:c r="C209" s="22"/>
      <x:c r="D209" s="22"/>
      <x:c r="E209" s="30"/>
      <x:c r="F209" s="22"/>
      <x:c r="G209" s="22"/>
      <x:c r="H209" s="22"/>
      <x:c r="I209" s="28"/>
    </x:row>
    <x:row r="210">
      <x:c r="A210" s="22"/>
      <x:c r="B210" s="22"/>
      <x:c r="C210" s="22"/>
      <x:c r="D210" s="22"/>
      <x:c r="E210" s="30"/>
      <x:c r="F210" s="22"/>
      <x:c r="G210" s="22"/>
      <x:c r="H210" s="22"/>
      <x:c r="I210" s="28"/>
    </x:row>
    <x:row r="211">
      <x:c r="A211" s="22"/>
      <x:c r="B211" s="22"/>
      <x:c r="C211" s="22"/>
      <x:c r="D211" s="22"/>
      <x:c r="E211" s="30"/>
      <x:c r="F211" s="22"/>
      <x:c r="G211" s="22"/>
      <x:c r="H211" s="22"/>
      <x:c r="I211" s="28"/>
    </x:row>
    <x:row r="212">
      <x:c r="A212" s="22"/>
      <x:c r="B212" s="22"/>
      <x:c r="C212" s="22"/>
      <x:c r="D212" s="22"/>
      <x:c r="E212" s="30"/>
      <x:c r="F212" s="22"/>
      <x:c r="G212" s="22"/>
      <x:c r="H212" s="22"/>
      <x:c r="I212" s="28"/>
    </x:row>
    <x:row r="213" ht="15">
      <x:c r="A213" s="22" t="s">
        <x:v>256</x:v>
      </x:c>
      <x:c r="B213" s="22" t="s">
        <x:v>257</x:v>
      </x:c>
      <x:c r="C213" s="22"/>
      <x:c r="D213" s="22" t="s">
        <x:v>215</x:v>
      </x:c>
      <x:c r="E213" s="26">
        <x:v>0.18</x:v>
      </x:c>
      <x:c r="F213" s="21" t="s">
        <x:v>27</x:v>
      </x:c>
      <x:c r="G213" s="21">
        <x:v>100</x:v>
      </x:c>
      <x:c r="H213" s="21">
        <x:v>0</x:v>
      </x:c>
      <x:c r="I213" s="28"/>
    </x:row>
    <x:row r="214" ht="15">
      <x:c r="A214" s="22" t="s">
        <x:v>256</x:v>
      </x:c>
      <x:c r="B214" s="22" t="s">
        <x:v>258</x:v>
      </x:c>
      <x:c r="C214" s="22"/>
      <x:c r="D214" s="22" t="s">
        <x:v>215</x:v>
      </x:c>
      <x:c r="E214" s="26">
        <x:v>0.35</x:v>
      </x:c>
      <x:c r="F214" s="21" t="s">
        <x:v>27</x:v>
      </x:c>
      <x:c r="G214" s="21">
        <x:v>100</x:v>
      </x:c>
      <x:c r="H214" s="21">
        <x:v>0</x:v>
      </x:c>
      <x:c r="I214" s="28"/>
    </x:row>
    <x:row r="215" ht="15">
      <x:c r="A215" s="22" t="s">
        <x:v>256</x:v>
      </x:c>
      <x:c r="B215" s="22" t="s">
        <x:v>259</x:v>
      </x:c>
      <x:c r="C215" s="22"/>
      <x:c r="D215" s="22" t="s">
        <x:v>215</x:v>
      </x:c>
      <x:c r="E215" s="26">
        <x:v>0.12</x:v>
      </x:c>
      <x:c r="F215" s="21" t="s">
        <x:v>27</x:v>
      </x:c>
      <x:c r="G215" s="21">
        <x:v>100</x:v>
      </x:c>
      <x:c r="H215" s="21">
        <x:v>0</x:v>
      </x:c>
      <x:c r="I215" s="28"/>
    </x:row>
    <x:row r="216" ht="15">
      <x:c r="A216" s="22" t="s">
        <x:v>256</x:v>
      </x:c>
      <x:c r="B216" s="22" t="s">
        <x:v>260</x:v>
      </x:c>
      <x:c r="C216" s="22"/>
      <x:c r="D216" s="22" t="s">
        <x:v>215</x:v>
      </x:c>
      <x:c r="E216" s="26">
        <x:v>0.04</x:v>
      </x:c>
      <x:c r="F216" s="21" t="s">
        <x:v>27</x:v>
      </x:c>
      <x:c r="G216" s="21">
        <x:v>100</x:v>
      </x:c>
      <x:c r="H216" s="21">
        <x:v>0</x:v>
      </x:c>
      <x:c r="I216" s="28"/>
    </x:row>
    <x:row r="217" ht="15">
      <x:c r="A217" s="22" t="s">
        <x:v>256</x:v>
      </x:c>
      <x:c r="B217" s="22" t="s">
        <x:v>261</x:v>
      </x:c>
      <x:c r="C217" s="22"/>
      <x:c r="D217" s="22" t="s">
        <x:v>215</x:v>
      </x:c>
      <x:c r="E217" s="26">
        <x:v>0.08</x:v>
      </x:c>
      <x:c r="F217" s="21" t="s">
        <x:v>27</x:v>
      </x:c>
      <x:c r="G217" s="21">
        <x:v>100</x:v>
      </x:c>
      <x:c r="H217" s="21">
        <x:v>0</x:v>
      </x:c>
      <x:c r="I217" s="28"/>
    </x:row>
    <x:row r="218">
      <x:c r="A218" t="s">
        <x:v>256</x:v>
      </x:c>
      <x:c r="B218" t="s">
        <x:v>262</x:v>
      </x:c>
      <x:c r="C218" t="s">
        <x:v>263</x:v>
      </x:c>
      <x:c r="D218" t="s">
        <x:v>215</x:v>
      </x:c>
      <x:c r="E218">
        <x:v>0.25</x:v>
      </x:c>
      <x:c r="F218" t="s">
        <x:v>27</x:v>
      </x:c>
      <x:c r="G218">
        <x:v>100</x:v>
      </x:c>
      <x:c r="H218">
        <x:v>0</x:v>
      </x:c>
      <x:c r="I218" t="s">
        <x:v>264</x:v>
      </x:c>
    </x:row>
    <x:row r="219">
      <x:c r="A219" t="s">
        <x:v>256</x:v>
      </x:c>
      <x:c r="B219" t="s">
        <x:v>265</x:v>
      </x:c>
      <x:c r="C219" t="s">
        <x:v>266</x:v>
      </x:c>
      <x:c r="D219" t="s">
        <x:v>215</x:v>
      </x:c>
      <x:c r="E219">
        <x:v>0.4</x:v>
      </x:c>
      <x:c r="F219" t="s">
        <x:v>27</x:v>
      </x:c>
      <x:c r="G219">
        <x:v>100</x:v>
      </x:c>
      <x:c r="H219">
        <x:v>0</x:v>
      </x:c>
      <x:c r="I219" t="s">
        <x:v>267</x:v>
      </x:c>
    </x:row>
    <x:row r="220">
      <x:c r="A220" t="s">
        <x:v>256</x:v>
      </x:c>
      <x:c r="B220" t="s">
        <x:v>265</x:v>
      </x:c>
      <x:c r="C220" t="s">
        <x:v>268</x:v>
      </x:c>
      <x:c r="D220" t="s">
        <x:v>215</x:v>
      </x:c>
      <x:c r="E220">
        <x:v>0.45</x:v>
      </x:c>
      <x:c r="F220" t="s">
        <x:v>27</x:v>
      </x:c>
      <x:c r="G220">
        <x:v>100</x:v>
      </x:c>
      <x:c r="H220">
        <x:v>0</x:v>
      </x:c>
      <x:c r="I220" t="s">
        <x:v>267</x:v>
      </x:c>
    </x:row>
    <x:row r="221">
      <x:c r="A221" t="s">
        <x:v>256</x:v>
      </x:c>
      <x:c r="B221" t="s">
        <x:v>269</x:v>
      </x:c>
      <x:c r="C221" t="s">
        <x:v>270</x:v>
      </x:c>
      <x:c r="D221" t="s">
        <x:v>215</x:v>
      </x:c>
      <x:c r="E221">
        <x:v>0.38</x:v>
      </x:c>
      <x:c r="F221" t="s">
        <x:v>27</x:v>
      </x:c>
      <x:c r="G221">
        <x:v>100</x:v>
      </x:c>
      <x:c r="H221">
        <x:v>0</x:v>
      </x:c>
      <x:c r="I221" t="s">
        <x:v>267</x:v>
      </x:c>
    </x:row>
    <x:row r="222">
      <x:c r="A222" t="s">
        <x:v>256</x:v>
      </x:c>
      <x:c r="B222" t="s">
        <x:v>271</x:v>
      </x:c>
      <x:c r="C222" t="s">
        <x:v>272</x:v>
      </x:c>
      <x:c r="D222" t="s">
        <x:v>215</x:v>
      </x:c>
      <x:c r="E222">
        <x:v>0.32</x:v>
      </x:c>
      <x:c r="F222" t="s">
        <x:v>27</x:v>
      </x:c>
      <x:c r="G222">
        <x:v>100</x:v>
      </x:c>
      <x:c r="H222">
        <x:v>0</x:v>
      </x:c>
      <x:c r="I222" t="s">
        <x:v>267</x:v>
      </x:c>
    </x:row>
    <x:row r="223">
      <x:c r="A223" t="s">
        <x:v>256</x:v>
      </x:c>
      <x:c r="B223" t="s">
        <x:v>273</x:v>
      </x:c>
      <x:c r="C223" t="s">
        <x:v>274</x:v>
      </x:c>
      <x:c r="D223" t="s">
        <x:v>215</x:v>
      </x:c>
      <x:c r="E223">
        <x:v>7.0000000000000007E-2</x:v>
      </x:c>
      <x:c r="F223" t="s">
        <x:v>27</x:v>
      </x:c>
      <x:c r="G223">
        <x:v>100</x:v>
      </x:c>
      <x:c r="H223">
        <x:v>0</x:v>
      </x:c>
      <x:c r="I223" t="s">
        <x:v>275</x:v>
      </x:c>
    </x:row>
    <x:row r="224">
      <x:c r="A224" t="s">
        <x:v>256</x:v>
      </x:c>
      <x:c r="B224" t="s">
        <x:v>276</x:v>
      </x:c>
      <x:c r="C224" t="s">
        <x:v>277</x:v>
      </x:c>
      <x:c r="D224" t="s">
        <x:v>215</x:v>
      </x:c>
      <x:c r="E224">
        <x:v>4.4999999999999998E-2</x:v>
      </x:c>
      <x:c r="F224" t="s">
        <x:v>27</x:v>
      </x:c>
      <x:c r="G224">
        <x:v>100</x:v>
      </x:c>
      <x:c r="H224">
        <x:v>0</x:v>
      </x:c>
      <x:c r="I224" t="s">
        <x:v>275</x:v>
      </x:c>
    </x:row>
    <x:row r="225">
      <x:c r="A225" t="s">
        <x:v>256</x:v>
      </x:c>
      <x:c r="B225" t="s">
        <x:v>278</x:v>
      </x:c>
      <x:c r="C225" t="s">
        <x:v>279</x:v>
      </x:c>
      <x:c r="D225" t="s">
        <x:v>215</x:v>
      </x:c>
      <x:c r="E225">
        <x:v>0.06</x:v>
      </x:c>
      <x:c r="F225" t="s">
        <x:v>27</x:v>
      </x:c>
      <x:c r="G225">
        <x:v>100</x:v>
      </x:c>
      <x:c r="H225">
        <x:v>0</x:v>
      </x:c>
      <x:c r="I225" t="s">
        <x:v>275</x:v>
      </x:c>
    </x:row>
    <x:row r="226">
      <x:c r="A226" t="s">
        <x:v>256</x:v>
      </x:c>
      <x:c r="B226" t="s">
        <x:v>280</x:v>
      </x:c>
      <x:c r="C226" t="s">
        <x:v>281</x:v>
      </x:c>
      <x:c r="D226" t="s">
        <x:v>215</x:v>
      </x:c>
      <x:c r="E226">
        <x:v>0.28000000000000003</x:v>
      </x:c>
      <x:c r="F226" t="s">
        <x:v>27</x:v>
      </x:c>
      <x:c r="G226">
        <x:v>100</x:v>
      </x:c>
      <x:c r="H226">
        <x:v>0</x:v>
      </x:c>
      <x:c r="I226" t="s">
        <x:v>264</x:v>
      </x:c>
    </x:row>
    <x:row r="227">
      <x:c r="A227" t="s">
        <x:v>256</x:v>
      </x:c>
      <x:c r="B227" t="s">
        <x:v>282</x:v>
      </x:c>
      <x:c r="C227" t="s">
        <x:v>283</x:v>
      </x:c>
      <x:c r="D227" t="s">
        <x:v>215</x:v>
      </x:c>
      <x:c r="E227">
        <x:v>0.38</x:v>
      </x:c>
      <x:c r="F227" t="s">
        <x:v>27</x:v>
      </x:c>
      <x:c r="G227">
        <x:v>100</x:v>
      </x:c>
      <x:c r="H227">
        <x:v>0</x:v>
      </x:c>
      <x:c r="I227" t="s">
        <x:v>264</x:v>
      </x:c>
    </x:row>
    <x:row r="228">
      <x:c r="A228" t="s">
        <x:v>256</x:v>
      </x:c>
      <x:c r="B228" t="s">
        <x:v>284</x:v>
      </x:c>
      <x:c r="C228" t="s">
        <x:v>285</x:v>
      </x:c>
      <x:c r="D228" t="s">
        <x:v>215</x:v>
      </x:c>
      <x:c r="E228">
        <x:v>0.3</x:v>
      </x:c>
      <x:c r="F228" t="s">
        <x:v>27</x:v>
      </x:c>
      <x:c r="G228">
        <x:v>100</x:v>
      </x:c>
      <x:c r="H228">
        <x:v>0</x:v>
      </x:c>
      <x:c r="I228" t="s">
        <x:v>264</x:v>
      </x:c>
    </x:row>
    <x:row r="229">
      <x:c r="A229" t="s">
        <x:v>256</x:v>
      </x:c>
      <x:c r="B229" t="s">
        <x:v>286</x:v>
      </x:c>
      <x:c r="C229" t="s">
        <x:v>287</x:v>
      </x:c>
      <x:c r="D229" t="s">
        <x:v>215</x:v>
      </x:c>
      <x:c r="E229">
        <x:v>0.22</x:v>
      </x:c>
      <x:c r="F229" t="s">
        <x:v>27</x:v>
      </x:c>
      <x:c r="G229">
        <x:v>100</x:v>
      </x:c>
      <x:c r="H229">
        <x:v>0</x:v>
      </x:c>
      <x:c r="I229" t="s">
        <x:v>264</x:v>
      </x:c>
    </x:row>
    <x:row r="230">
      <x:c r="A230" t="s">
        <x:v>256</x:v>
      </x:c>
      <x:c r="B230" t="s">
        <x:v>288</x:v>
      </x:c>
      <x:c r="C230" t="s">
        <x:v>289</x:v>
      </x:c>
      <x:c r="D230" t="s">
        <x:v>215</x:v>
      </x:c>
      <x:c r="E230">
        <x:v>0.35</x:v>
      </x:c>
      <x:c r="F230" t="s">
        <x:v>27</x:v>
      </x:c>
      <x:c r="G230">
        <x:v>100</x:v>
      </x:c>
      <x:c r="H230">
        <x:v>0</x:v>
      </x:c>
      <x:c r="I230" t="s">
        <x:v>290</x:v>
      </x:c>
    </x:row>
    <x:row r="231">
      <x:c r="A231" t="s">
        <x:v>256</x:v>
      </x:c>
      <x:c r="B231" t="s">
        <x:v>291</x:v>
      </x:c>
      <x:c r="C231" t="s">
        <x:v>292</x:v>
      </x:c>
      <x:c r="D231" t="s">
        <x:v>215</x:v>
      </x:c>
      <x:c r="E231">
        <x:v>0.18</x:v>
      </x:c>
      <x:c r="F231" t="s">
        <x:v>27</x:v>
      </x:c>
      <x:c r="G231">
        <x:v>100</x:v>
      </x:c>
      <x:c r="H231">
        <x:v>0</x:v>
      </x:c>
      <x:c r="I231" t="s">
        <x:v>290</x:v>
      </x:c>
    </x:row>
    <x:row r="232">
      <x:c r="A232" t="s">
        <x:v>256</x:v>
      </x:c>
      <x:c r="B232" t="s">
        <x:v>293</x:v>
      </x:c>
      <x:c r="C232" t="s">
        <x:v>294</x:v>
      </x:c>
      <x:c r="D232" t="s">
        <x:v>215</x:v>
      </x:c>
      <x:c r="E232">
        <x:v>0.14000000000000001</x:v>
      </x:c>
      <x:c r="F232" t="s">
        <x:v>27</x:v>
      </x:c>
      <x:c r="G232">
        <x:v>100</x:v>
      </x:c>
      <x:c r="H232">
        <x:v>0</x:v>
      </x:c>
      <x:c r="I232" t="s">
        <x:v>290</x:v>
      </x:c>
    </x:row>
    <x:row r="233">
      <x:c r="A233" t="s">
        <x:v>256</x:v>
      </x:c>
      <x:c r="B233" t="s">
        <x:v>295</x:v>
      </x:c>
      <x:c r="C233" t="s">
        <x:v>296</x:v>
      </x:c>
      <x:c r="D233" t="s">
        <x:v>223</x:v>
      </x:c>
      <x:c r="E233">
        <x:v>3.5000000000000003E-2</x:v>
      </x:c>
      <x:c r="F233" t="s">
        <x:v>27</x:v>
      </x:c>
      <x:c r="G233">
        <x:v>100</x:v>
      </x:c>
      <x:c r="H233">
        <x:v>0</x:v>
      </x:c>
      <x:c r="I233" t="s">
        <x:v>264</x:v>
      </x:c>
    </x:row>
    <x:row r="234">
      <x:c r="A234" t="s">
        <x:v>256</x:v>
      </x:c>
      <x:c r="B234" t="s">
        <x:v>297</x:v>
      </x:c>
      <x:c r="C234" t="s">
        <x:v>298</x:v>
      </x:c>
      <x:c r="D234" t="s">
        <x:v>223</x:v>
      </x:c>
      <x:c r="E234">
        <x:v>7.0000000000000007E-2</x:v>
      </x:c>
      <x:c r="F234" t="s">
        <x:v>27</x:v>
      </x:c>
      <x:c r="G234">
        <x:v>100</x:v>
      </x:c>
      <x:c r="H234">
        <x:v>0</x:v>
      </x:c>
      <x:c r="I234" t="s">
        <x:v>264</x:v>
      </x:c>
    </x:row>
    <x:row r="235">
      <x:c r="A235" t="s">
        <x:v>256</x:v>
      </x:c>
      <x:c r="B235" t="s">
        <x:v>299</x:v>
      </x:c>
      <x:c r="C235" t="s">
        <x:v>300</x:v>
      </x:c>
      <x:c r="D235" t="s">
        <x:v>223</x:v>
      </x:c>
      <x:c r="E235">
        <x:v>3.5</x:v>
      </x:c>
      <x:c r="F235" t="s">
        <x:v>27</x:v>
      </x:c>
      <x:c r="G235">
        <x:v>100</x:v>
      </x:c>
      <x:c r="H235">
        <x:v>0</x:v>
      </x:c>
      <x:c r="I235" t="s">
        <x:v>290</x:v>
      </x:c>
    </x:row>
    <x:row r="236" ht="15">
      <x:c r="A236" s="22"/>
      <x:c r="B236" s="22"/>
      <x:c r="C236" s="22"/>
      <x:c r="D236" s="22"/>
      <x:c r="E236" s="26"/>
      <x:c r="F236" s="21"/>
      <x:c r="G236" s="21"/>
      <x:c r="H236" s="21"/>
      <x:c r="I236" s="28"/>
    </x:row>
    <x:row r="237" ht="15">
      <x:c r="A237" s="22"/>
      <x:c r="B237" s="22"/>
      <x:c r="C237" s="22"/>
      <x:c r="D237" s="22"/>
      <x:c r="E237" s="26"/>
      <x:c r="F237" s="21"/>
      <x:c r="G237" s="21"/>
      <x:c r="H237" s="21"/>
      <x:c r="I237" s="28"/>
    </x:row>
    <x:row r="238">
      <x:c r="A238" s="24" t="s">
        <x:v>301</x:v>
      </x:c>
      <x:c r="B238" s="24" t="s">
        <x:v>302</x:v>
      </x:c>
      <x:c r="C238" s="24" t="s">
        <x:v>303</x:v>
      </x:c>
      <x:c r="D238" s="24" t="s">
        <x:v>223</x:v>
      </x:c>
      <x:c r="E238" s="26">
        <x:v>1.7999999999999999E-2</x:v>
      </x:c>
      <x:c r="F238" s="24" t="s">
        <x:v>27</x:v>
      </x:c>
      <x:c r="G238" s="24">
        <x:v>100</x:v>
      </x:c>
      <x:c r="H238" s="24">
        <x:v>0</x:v>
      </x:c>
      <x:c r="I238" s="25" t="s">
        <x:v>304</x:v>
      </x:c>
    </x:row>
    <x:row r="239">
      <x:c r="A239" s="24" t="s">
        <x:v>301</x:v>
      </x:c>
      <x:c r="B239" s="24" t="s">
        <x:v>305</x:v>
      </x:c>
      <x:c r="C239" s="24" t="s">
        <x:v>303</x:v>
      </x:c>
      <x:c r="D239" s="24" t="s">
        <x:v>223</x:v>
      </x:c>
      <x:c r="E239" s="26">
        <x:v>4.4999999999999998E-2</x:v>
      </x:c>
      <x:c r="F239" s="24" t="s">
        <x:v>27</x:v>
      </x:c>
      <x:c r="G239" s="24">
        <x:v>100</x:v>
      </x:c>
      <x:c r="H239" s="24">
        <x:v>0</x:v>
      </x:c>
      <x:c r="I239" s="25" t="s">
        <x:v>306</x:v>
      </x:c>
    </x:row>
    <x:row r="240">
      <x:c r="A240" s="24" t="s">
        <x:v>301</x:v>
      </x:c>
      <x:c r="B240" s="24" t="s">
        <x:v>307</x:v>
      </x:c>
      <x:c r="C240" s="24" t="s">
        <x:v>308</x:v>
      </x:c>
      <x:c r="D240" s="24" t="s">
        <x:v>223</x:v>
      </x:c>
      <x:c r="E240" s="26">
        <x:v>2.1999999999999999E-2</x:v>
      </x:c>
      <x:c r="F240" s="24" t="s">
        <x:v>27</x:v>
      </x:c>
      <x:c r="G240" s="24">
        <x:v>100</x:v>
      </x:c>
      <x:c r="H240" s="24">
        <x:v>0</x:v>
      </x:c>
      <x:c r="I240" s="25" t="s">
        <x:v>309</x:v>
      </x:c>
    </x:row>
    <x:row r="241">
      <x:c r="A241" s="24" t="s">
        <x:v>301</x:v>
      </x:c>
      <x:c r="B241" s="24" t="s">
        <x:v>310</x:v>
      </x:c>
      <x:c r="C241" s="24" t="s">
        <x:v>311</x:v>
      </x:c>
      <x:c r="D241" s="24" t="s">
        <x:v>223</x:v>
      </x:c>
      <x:c r="E241" s="26">
        <x:v>0.16</x:v>
      </x:c>
      <x:c r="F241" s="24" t="s">
        <x:v>27</x:v>
      </x:c>
      <x:c r="G241" s="24">
        <x:v>100</x:v>
      </x:c>
      <x:c r="H241" s="24">
        <x:v>0</x:v>
      </x:c>
      <x:c r="I241" s="25" t="s">
        <x:v>312</x:v>
      </x:c>
    </x:row>
    <x:row r="242" ht="15">
      <x:c r="A242" s="22"/>
      <x:c r="B242" s="22"/>
      <x:c r="C242" s="22"/>
      <x:c r="D242" s="22"/>
      <x:c r="E242" s="26"/>
      <x:c r="F242" s="21"/>
      <x:c r="G242" s="21"/>
      <x:c r="H242" s="21"/>
      <x:c r="I242" s="28"/>
    </x:row>
    <x:row r="243" ht="15">
      <x:c r="A243" s="22"/>
      <x:c r="B243" s="22"/>
      <x:c r="C243" s="22"/>
      <x:c r="D243" s="22"/>
      <x:c r="E243" s="26"/>
      <x:c r="F243" s="21"/>
      <x:c r="G243" s="21"/>
      <x:c r="H243" s="21"/>
      <x:c r="I243" s="28"/>
    </x:row>
    <x:row r="244" ht="15">
      <x:c r="A244" s="22"/>
      <x:c r="B244" s="22"/>
      <x:c r="C244" s="22"/>
      <x:c r="D244" s="22"/>
      <x:c r="E244" s="26"/>
      <x:c r="F244" s="21"/>
      <x:c r="G244" s="21"/>
      <x:c r="H244" s="21"/>
      <x:c r="I244" s="28"/>
    </x:row>
    <x:row r="245" ht="15">
      <x:c r="A245" s="22"/>
      <x:c r="B245" s="22"/>
      <x:c r="C245" s="22"/>
      <x:c r="D245" s="22"/>
      <x:c r="E245" s="26"/>
      <x:c r="F245" s="21"/>
      <x:c r="G245" s="21"/>
      <x:c r="H245" s="21"/>
      <x:c r="I245" s="28"/>
    </x:row>
    <x:row r="246" ht="15">
      <x:c r="A246" s="22"/>
      <x:c r="B246" s="22"/>
      <x:c r="C246" s="22"/>
      <x:c r="D246" s="22"/>
      <x:c r="E246" s="26"/>
      <x:c r="F246" s="21"/>
      <x:c r="G246" s="21"/>
      <x:c r="H246" s="21"/>
      <x:c r="I246" s="28"/>
    </x:row>
    <x:row r="247">
      <x:c r="A247" s="22"/>
      <x:c r="B247" s="22"/>
      <x:c r="C247" s="22"/>
      <x:c r="D247" s="22"/>
      <x:c r="E247" s="30"/>
      <x:c r="F247" s="22"/>
      <x:c r="G247" s="22"/>
      <x:c r="H247" s="22"/>
      <x:c r="I247" s="28"/>
    </x:row>
    <x:row r="248">
      <x:c r="A248" s="22"/>
      <x:c r="B248" s="22"/>
      <x:c r="C248" s="22"/>
      <x:c r="D248" s="22"/>
      <x:c r="E248" s="30"/>
      <x:c r="F248" s="22"/>
      <x:c r="G248" s="22"/>
      <x:c r="H248" s="22"/>
      <x:c r="I248" s="28"/>
    </x:row>
    <x:row r="249">
      <x:c r="A249" s="22" t="s">
        <x:v>313</x:v>
      </x:c>
      <x:c r="B249" s="22" t="s">
        <x:v>314</x:v>
      </x:c>
      <x:c r="C249" s="22">
        <x:v>304</x:v>
      </x:c>
      <x:c r="D249" s="22" t="s">
        <x:v>125</x:v>
      </x:c>
      <x:c r="E249" s="26">
        <x:v>1.8</x:v>
      </x:c>
      <x:c r="F249" s="22" t="s">
        <x:v>27</x:v>
      </x:c>
      <x:c r="G249" s="22">
        <x:v>100</x:v>
      </x:c>
      <x:c r="H249" s="22">
        <x:v>0</x:v>
      </x:c>
      <x:c r="I249" s="28" t="s">
        <x:v>315</x:v>
      </x:c>
    </x:row>
    <x:row r="250">
      <x:c r="A250" s="22" t="s">
        <x:v>313</x:v>
      </x:c>
      <x:c r="B250" s="22" t="s">
        <x:v>314</x:v>
      </x:c>
      <x:c r="C250" s="22">
        <x:v>8.8000000000000007</x:v>
      </x:c>
      <x:c r="D250" s="22" t="s">
        <x:v>125</x:v>
      </x:c>
      <x:c r="E250" s="26">
        <x:v>0.75</x:v>
      </x:c>
      <x:c r="F250" s="22" t="s">
        <x:v>27</x:v>
      </x:c>
      <x:c r="G250" s="22">
        <x:v>100</x:v>
      </x:c>
      <x:c r="H250" s="22">
        <x:v>0</x:v>
      </x:c>
      <x:c r="I250" s="28" t="s">
        <x:v>315</x:v>
      </x:c>
    </x:row>
    <x:row r="251">
      <x:c r="A251" s="22" t="s">
        <x:v>313</x:v>
      </x:c>
      <x:c r="B251" s="22" t="s">
        <x:v>314</x:v>
      </x:c>
      <x:c r="C251" s="22">
        <x:v>10.9</x:v>
      </x:c>
      <x:c r="D251" s="22" t="s">
        <x:v>125</x:v>
      </x:c>
      <x:c r="E251" s="26">
        <x:v>1.1000000000000001</x:v>
      </x:c>
      <x:c r="F251" s="22" t="s">
        <x:v>27</x:v>
      </x:c>
      <x:c r="G251" s="22">
        <x:v>100</x:v>
      </x:c>
      <x:c r="H251" s="22">
        <x:v>0</x:v>
      </x:c>
      <x:c r="I251" s="28" t="s">
        <x:v>315</x:v>
      </x:c>
    </x:row>
    <x:row r="252">
      <x:c r="A252" s="22" t="s">
        <x:v>313</x:v>
      </x:c>
      <x:c r="B252" s="22" t="s">
        <x:v>316</x:v>
      </x:c>
      <x:c r="C252" s="22">
        <x:v>304</x:v>
      </x:c>
      <x:c r="D252" s="22" t="s">
        <x:v>125</x:v>
      </x:c>
      <x:c r="E252" s="26">
        <x:v>1</x:v>
      </x:c>
      <x:c r="F252" s="22" t="s">
        <x:v>27</x:v>
      </x:c>
      <x:c r="G252" s="22">
        <x:v>100</x:v>
      </x:c>
      <x:c r="H252" s="22">
        <x:v>0</x:v>
      </x:c>
      <x:c r="I252" s="28" t="s">
        <x:v>317</x:v>
      </x:c>
    </x:row>
    <x:row r="253">
      <x:c r="A253" s="22" t="s">
        <x:v>313</x:v>
      </x:c>
      <x:c r="B253" s="22" t="s">
        <x:v>316</x:v>
      </x:c>
      <x:c r="C253" s="22">
        <x:v>8.8000000000000007</x:v>
      </x:c>
      <x:c r="D253" s="22" t="s">
        <x:v>125</x:v>
      </x:c>
      <x:c r="E253" s="26">
        <x:v>0.38</x:v>
      </x:c>
      <x:c r="F253" s="22" t="s">
        <x:v>27</x:v>
      </x:c>
      <x:c r="G253" s="22">
        <x:v>100</x:v>
      </x:c>
      <x:c r="H253" s="22">
        <x:v>0</x:v>
      </x:c>
      <x:c r="I253" s="28" t="s">
        <x:v>317</x:v>
      </x:c>
    </x:row>
    <x:row r="254">
      <x:c r="A254" s="22" t="s">
        <x:v>313</x:v>
      </x:c>
      <x:c r="B254" s="22" t="s">
        <x:v>316</x:v>
      </x:c>
      <x:c r="C254" s="22">
        <x:v>10.9</x:v>
      </x:c>
      <x:c r="D254" s="22" t="s">
        <x:v>125</x:v>
      </x:c>
      <x:c r="E254" s="26">
        <x:v>0.55000000000000004</x:v>
      </x:c>
      <x:c r="F254" s="22" t="s">
        <x:v>27</x:v>
      </x:c>
      <x:c r="G254" s="22">
        <x:v>100</x:v>
      </x:c>
      <x:c r="H254" s="22">
        <x:v>0</x:v>
      </x:c>
      <x:c r="I254" s="28" t="s">
        <x:v>317</x:v>
      </x:c>
    </x:row>
    <x:row r="255">
      <x:c r="A255" s="22" t="s">
        <x:v>313</x:v>
      </x:c>
      <x:c r="B255" s="22" t="s">
        <x:v>318</x:v>
      </x:c>
      <x:c r="C255" s="22">
        <x:v>304</x:v>
      </x:c>
      <x:c r="D255" s="22" t="s">
        <x:v>125</x:v>
      </x:c>
      <x:c r="E255" s="26">
        <x:v>0.45</x:v>
      </x:c>
      <x:c r="F255" s="22" t="s">
        <x:v>27</x:v>
      </x:c>
      <x:c r="G255" s="22">
        <x:v>100</x:v>
      </x:c>
      <x:c r="H255" s="22">
        <x:v>0</x:v>
      </x:c>
      <x:c r="I255" s="28" t="s">
        <x:v>319</x:v>
      </x:c>
    </x:row>
    <x:row r="256">
      <x:c r="A256" s="22" t="s">
        <x:v>313</x:v>
      </x:c>
      <x:c r="B256" s="22" t="s">
        <x:v>318</x:v>
      </x:c>
      <x:c r="C256" s="22">
        <x:v>8.8000000000000007</x:v>
      </x:c>
      <x:c r="D256" s="22" t="s">
        <x:v>125</x:v>
      </x:c>
      <x:c r="E256" s="26">
        <x:v>0.18</x:v>
      </x:c>
      <x:c r="F256" s="22" t="s">
        <x:v>27</x:v>
      </x:c>
      <x:c r="G256" s="22">
        <x:v>100</x:v>
      </x:c>
      <x:c r="H256" s="22">
        <x:v>0</x:v>
      </x:c>
      <x:c r="I256" s="28" t="s">
        <x:v>319</x:v>
      </x:c>
    </x:row>
    <x:row r="257">
      <x:c r="A257" s="22" t="s">
        <x:v>313</x:v>
      </x:c>
      <x:c r="B257" s="22" t="s">
        <x:v>318</x:v>
      </x:c>
      <x:c r="C257" s="22">
        <x:v>10.9</x:v>
      </x:c>
      <x:c r="D257" s="22" t="s">
        <x:v>125</x:v>
      </x:c>
      <x:c r="E257" s="26">
        <x:v>0.28000000000000003</x:v>
      </x:c>
      <x:c r="F257" s="22" t="s">
        <x:v>27</x:v>
      </x:c>
      <x:c r="G257" s="22">
        <x:v>100</x:v>
      </x:c>
      <x:c r="H257" s="22">
        <x:v>0</x:v>
      </x:c>
      <x:c r="I257" s="28" t="s">
        <x:v>319</x:v>
      </x:c>
    </x:row>
    <x:row r="258">
      <x:c r="A258" s="22" t="s">
        <x:v>313</x:v>
      </x:c>
      <x:c r="B258" s="22" t="s">
        <x:v>320</x:v>
      </x:c>
      <x:c r="C258" s="22">
        <x:v>304</x:v>
      </x:c>
      <x:c r="D258" s="22" t="s">
        <x:v>125</x:v>
      </x:c>
      <x:c r="E258" s="26">
        <x:v>0.28000000000000003</x:v>
      </x:c>
      <x:c r="F258" s="22" t="s">
        <x:v>27</x:v>
      </x:c>
      <x:c r="G258" s="22">
        <x:v>100</x:v>
      </x:c>
      <x:c r="H258" s="22">
        <x:v>0</x:v>
      </x:c>
      <x:c r="I258" s="28" t="s">
        <x:v>321</x:v>
      </x:c>
    </x:row>
    <x:row r="259">
      <x:c r="A259" s="22" t="s">
        <x:v>313</x:v>
      </x:c>
      <x:c r="B259" s="22" t="s">
        <x:v>320</x:v>
      </x:c>
      <x:c r="C259" s="22">
        <x:v>8.8000000000000007</x:v>
      </x:c>
      <x:c r="D259" s="22" t="s">
        <x:v>125</x:v>
      </x:c>
      <x:c r="E259" s="26">
        <x:v>0.1</x:v>
      </x:c>
      <x:c r="F259" s="22" t="s">
        <x:v>27</x:v>
      </x:c>
      <x:c r="G259" s="22">
        <x:v>100</x:v>
      </x:c>
      <x:c r="H259" s="22">
        <x:v>0</x:v>
      </x:c>
      <x:c r="I259" s="28" t="s">
        <x:v>321</x:v>
      </x:c>
    </x:row>
    <x:row r="260">
      <x:c r="A260" s="22" t="s">
        <x:v>313</x:v>
      </x:c>
      <x:c r="B260" s="22" t="s">
        <x:v>320</x:v>
      </x:c>
      <x:c r="C260" s="22">
        <x:v>10.9</x:v>
      </x:c>
      <x:c r="D260" s="22" t="s">
        <x:v>125</x:v>
      </x:c>
      <x:c r="E260" s="26">
        <x:v>0.16</x:v>
      </x:c>
      <x:c r="F260" s="22" t="s">
        <x:v>27</x:v>
      </x:c>
      <x:c r="G260" s="22">
        <x:v>100</x:v>
      </x:c>
      <x:c r="H260" s="22">
        <x:v>0</x:v>
      </x:c>
      <x:c r="I260" s="28" t="s">
        <x:v>321</x:v>
      </x:c>
    </x:row>
    <x:row r="261">
      <x:c r="A261" s="22" t="s">
        <x:v>313</x:v>
      </x:c>
      <x:c r="B261" s="22" t="s">
        <x:v>322</x:v>
      </x:c>
      <x:c r="C261" s="22">
        <x:v>304</x:v>
      </x:c>
      <x:c r="D261" s="22" t="s">
        <x:v>125</x:v>
      </x:c>
      <x:c r="E261" s="26">
        <x:v>0.18</x:v>
      </x:c>
      <x:c r="F261" s="22" t="s">
        <x:v>27</x:v>
      </x:c>
      <x:c r="G261" s="22">
        <x:v>100</x:v>
      </x:c>
      <x:c r="H261" s="22">
        <x:v>0</x:v>
      </x:c>
      <x:c r="I261" s="28" t="s">
        <x:v>323</x:v>
      </x:c>
    </x:row>
    <x:row r="262">
      <x:c r="A262" s="22" t="s">
        <x:v>313</x:v>
      </x:c>
      <x:c r="B262" s="22" t="s">
        <x:v>322</x:v>
      </x:c>
      <x:c r="C262" s="22">
        <x:v>8.8000000000000007</x:v>
      </x:c>
      <x:c r="D262" s="22" t="s">
        <x:v>125</x:v>
      </x:c>
      <x:c r="E262" s="26">
        <x:v>7.0000000000000007E-2</x:v>
      </x:c>
      <x:c r="F262" s="22" t="s">
        <x:v>27</x:v>
      </x:c>
      <x:c r="G262" s="22">
        <x:v>100</x:v>
      </x:c>
      <x:c r="H262" s="22">
        <x:v>0</x:v>
      </x:c>
      <x:c r="I262" s="28" t="s">
        <x:v>323</x:v>
      </x:c>
    </x:row>
    <x:row r="263">
      <x:c r="A263" s="22" t="s">
        <x:v>313</x:v>
      </x:c>
      <x:c r="B263" s="22" t="s">
        <x:v>322</x:v>
      </x:c>
      <x:c r="C263" s="22">
        <x:v>10.9</x:v>
      </x:c>
      <x:c r="D263" s="22" t="s">
        <x:v>125</x:v>
      </x:c>
      <x:c r="E263" s="26">
        <x:v>0.11</x:v>
      </x:c>
      <x:c r="F263" s="22" t="s">
        <x:v>27</x:v>
      </x:c>
      <x:c r="G263" s="22">
        <x:v>100</x:v>
      </x:c>
      <x:c r="H263" s="22">
        <x:v>0</x:v>
      </x:c>
      <x:c r="I263" s="28" t="s">
        <x:v>323</x:v>
      </x:c>
    </x:row>
    <x:row r="264">
      <x:c r="A264" s="22"/>
      <x:c r="B264" s="22"/>
      <x:c r="C264" s="22"/>
      <x:c r="D264" s="22"/>
      <x:c r="E264" s="30"/>
      <x:c r="F264" s="22"/>
      <x:c r="G264" s="22"/>
      <x:c r="H264" s="22"/>
      <x:c r="I264" s="28"/>
    </x:row>
    <x:row r="265" ht="56.599998474121094">
      <x:c r="A265" s="22" t="s">
        <x:v>324</x:v>
      </x:c>
      <x:c r="B265" s="22" t="s">
        <x:v>325</x:v>
      </x:c>
      <x:c r="C265" s="22" t="s">
        <x:v>326</x:v>
      </x:c>
      <x:c r="D265" s="22" t="s">
        <x:v>125</x:v>
      </x:c>
      <x:c r="E265" s="62">
        <x:v>90</x:v>
      </x:c>
      <x:c r="F265" s="22" t="s">
        <x:v>27</x:v>
      </x:c>
      <x:c r="G265" s="22">
        <x:v>100</x:v>
      </x:c>
      <x:c r="H265" s="22">
        <x:v>0</x:v>
      </x:c>
      <x:c r="I265" s="28" t="s">
        <x:v>327</x:v>
      </x:c>
    </x:row>
    <x:row r="266" ht="56.599998474121094">
      <x:c r="A266" s="22" t="s">
        <x:v>324</x:v>
      </x:c>
      <x:c r="B266" s="22" t="s">
        <x:v>328</x:v>
      </x:c>
      <x:c r="C266" s="22" t="s">
        <x:v>326</x:v>
      </x:c>
      <x:c r="D266" s="22" t="s">
        <x:v>125</x:v>
      </x:c>
      <x:c r="E266" s="62">
        <x:v>80</x:v>
      </x:c>
      <x:c r="F266" s="22" t="s">
        <x:v>27</x:v>
      </x:c>
      <x:c r="G266" s="22">
        <x:v>100</x:v>
      </x:c>
      <x:c r="H266" s="22">
        <x:v>0</x:v>
      </x:c>
      <x:c r="I266" s="28" t="s">
        <x:v>327</x:v>
      </x:c>
    </x:row>
    <x:row r="267" ht="56.599998474121094">
      <x:c r="A267" s="22" t="s">
        <x:v>324</x:v>
      </x:c>
      <x:c r="B267" s="22" t="s">
        <x:v>329</x:v>
      </x:c>
      <x:c r="C267" s="22" t="s">
        <x:v>326</x:v>
      </x:c>
      <x:c r="D267" s="22" t="s">
        <x:v>125</x:v>
      </x:c>
      <x:c r="E267" s="63">
        <x:v>70</x:v>
      </x:c>
      <x:c r="F267" s="22" t="s">
        <x:v>27</x:v>
      </x:c>
      <x:c r="G267" s="22">
        <x:v>100</x:v>
      </x:c>
      <x:c r="H267" s="22">
        <x:v>0</x:v>
      </x:c>
      <x:c r="I267" s="28" t="s">
        <x:v>330</x:v>
      </x:c>
    </x:row>
    <x:row r="268" ht="56.599998474121094">
      <x:c r="A268" s="22" t="s">
        <x:v>324</x:v>
      </x:c>
      <x:c r="B268" s="22" t="s">
        <x:v>331</x:v>
      </x:c>
      <x:c r="C268" s="22" t="s">
        <x:v>326</x:v>
      </x:c>
      <x:c r="D268" s="22" t="s">
        <x:v>125</x:v>
      </x:c>
      <x:c r="E268" s="63">
        <x:v>25</x:v>
      </x:c>
      <x:c r="F268" s="22" t="s">
        <x:v>27</x:v>
      </x:c>
      <x:c r="G268" s="22">
        <x:v>100</x:v>
      </x:c>
      <x:c r="H268" s="22">
        <x:v>0</x:v>
      </x:c>
      <x:c r="I268" s="28" t="s">
        <x:v>330</x:v>
      </x:c>
    </x:row>
    <x:row r="269" ht="56.599998474121094">
      <x:c r="A269" s="22" t="s">
        <x:v>324</x:v>
      </x:c>
      <x:c r="B269" s="22" t="s">
        <x:v>325</x:v>
      </x:c>
      <x:c r="C269" s="22" t="s">
        <x:v>332</x:v>
      </x:c>
      <x:c r="D269" s="22" t="s">
        <x:v>125</x:v>
      </x:c>
      <x:c r="E269" s="62">
        <x:v>100</x:v>
      </x:c>
      <x:c r="F269" s="22" t="s">
        <x:v>27</x:v>
      </x:c>
      <x:c r="G269" s="22">
        <x:v>100</x:v>
      </x:c>
      <x:c r="H269" s="22">
        <x:v>0</x:v>
      </x:c>
      <x:c r="I269" s="28" t="s">
        <x:v>327</x:v>
      </x:c>
    </x:row>
    <x:row r="270" ht="56.599998474121094">
      <x:c r="A270" s="22" t="s">
        <x:v>324</x:v>
      </x:c>
      <x:c r="B270" s="22" t="s">
        <x:v>328</x:v>
      </x:c>
      <x:c r="C270" s="22" t="s">
        <x:v>332</x:v>
      </x:c>
      <x:c r="D270" s="22" t="s">
        <x:v>125</x:v>
      </x:c>
      <x:c r="E270" s="63">
        <x:v>85</x:v>
      </x:c>
      <x:c r="F270" s="22" t="s">
        <x:v>27</x:v>
      </x:c>
      <x:c r="G270" s="22">
        <x:v>100</x:v>
      </x:c>
      <x:c r="H270" s="22">
        <x:v>0</x:v>
      </x:c>
      <x:c r="I270" s="28" t="s">
        <x:v>330</x:v>
      </x:c>
    </x:row>
    <x:row r="271" ht="56.599998474121094">
      <x:c r="A271" s="22" t="s">
        <x:v>324</x:v>
      </x:c>
      <x:c r="B271" s="22" t="s">
        <x:v>329</x:v>
      </x:c>
      <x:c r="C271" s="22" t="s">
        <x:v>332</x:v>
      </x:c>
      <x:c r="D271" s="22" t="s">
        <x:v>125</x:v>
      </x:c>
      <x:c r="E271" s="62">
        <x:v>75</x:v>
      </x:c>
      <x:c r="F271" s="22" t="s">
        <x:v>27</x:v>
      </x:c>
      <x:c r="G271" s="22">
        <x:v>100</x:v>
      </x:c>
      <x:c r="H271" s="22">
        <x:v>0</x:v>
      </x:c>
      <x:c r="I271" s="28" t="s">
        <x:v>327</x:v>
      </x:c>
    </x:row>
    <x:row r="272" ht="56.599998474121094">
      <x:c r="A272" s="22" t="s">
        <x:v>324</x:v>
      </x:c>
      <x:c r="B272" s="22" t="s">
        <x:v>331</x:v>
      </x:c>
      <x:c r="C272" s="22" t="s">
        <x:v>332</x:v>
      </x:c>
      <x:c r="D272" s="22" t="s">
        <x:v>125</x:v>
      </x:c>
      <x:c r="E272" s="63">
        <x:v>30</x:v>
      </x:c>
      <x:c r="F272" s="22" t="s">
        <x:v>27</x:v>
      </x:c>
      <x:c r="G272" s="22">
        <x:v>100</x:v>
      </x:c>
      <x:c r="H272" s="22">
        <x:v>0</x:v>
      </x:c>
      <x:c r="I272" s="28" t="s">
        <x:v>330</x:v>
      </x:c>
    </x:row>
    <x:row r="273">
      <x:c r="A273" s="22"/>
      <x:c r="B273" s="22"/>
      <x:c r="C273" s="22"/>
      <x:c r="D273" s="22"/>
      <x:c r="F273" s="22"/>
      <x:c r="G273" s="22"/>
      <x:c r="H273" s="22"/>
      <x:c r="I273" s="28"/>
    </x:row>
    <x:row r="274" ht="28.299999237060547">
      <x:c r="A274" s="22" t="s">
        <x:v>333</x:v>
      </x:c>
      <x:c r="B274" s="22" t="s">
        <x:v>329</x:v>
      </x:c>
      <x:c r="C274" s="22" t="s">
        <x:v>334</x:v>
      </x:c>
      <x:c r="D274" s="22" t="s">
        <x:v>125</x:v>
      </x:c>
      <x:c r="E274" s="62">
        <x:v>55</x:v>
      </x:c>
      <x:c r="F274" s="22" t="s">
        <x:v>27</x:v>
      </x:c>
      <x:c r="G274" s="22">
        <x:v>100</x:v>
      </x:c>
      <x:c r="H274" s="22">
        <x:v>0</x:v>
      </x:c>
      <x:c r="I274" s="28" t="s">
        <x:v>335</x:v>
      </x:c>
    </x:row>
    <x:row r="275" ht="28.299999237060547">
      <x:c r="A275" s="22" t="s">
        <x:v>333</x:v>
      </x:c>
      <x:c r="B275" s="22" t="s">
        <x:v>336</x:v>
      </x:c>
      <x:c r="C275" s="22" t="s">
        <x:v>334</x:v>
      </x:c>
      <x:c r="D275" s="22" t="s">
        <x:v>125</x:v>
      </x:c>
      <x:c r="E275" s="63">
        <x:v>60</x:v>
      </x:c>
      <x:c r="F275" s="22" t="s">
        <x:v>27</x:v>
      </x:c>
      <x:c r="G275" s="22">
        <x:v>100</x:v>
      </x:c>
      <x:c r="H275" s="22">
        <x:v>0</x:v>
      </x:c>
      <x:c r="I275" s="28" t="s">
        <x:v>337</x:v>
      </x:c>
    </x:row>
    <x:row r="276" ht="28.299999237060547">
      <x:c r="A276" s="22" t="s">
        <x:v>333</x:v>
      </x:c>
      <x:c r="B276" s="22" t="s">
        <x:v>325</x:v>
      </x:c>
      <x:c r="C276" s="22" t="s">
        <x:v>334</x:v>
      </x:c>
      <x:c r="D276" s="22" t="s">
        <x:v>125</x:v>
      </x:c>
      <x:c r="E276" s="62">
        <x:v>65</x:v>
      </x:c>
      <x:c r="F276" s="22" t="s">
        <x:v>27</x:v>
      </x:c>
      <x:c r="G276" s="22">
        <x:v>100</x:v>
      </x:c>
      <x:c r="H276" s="22">
        <x:v>0</x:v>
      </x:c>
      <x:c r="I276" s="28" t="s">
        <x:v>335</x:v>
      </x:c>
    </x:row>
    <x:row r="277">
      <x:c r="A277" s="22"/>
      <x:c r="B277" s="22"/>
      <x:c r="C277" s="22"/>
      <x:c r="D277" s="22"/>
      <x:c r="F277" s="22"/>
      <x:c r="G277" s="22"/>
      <x:c r="H277" s="22"/>
      <x:c r="I277" s="28"/>
    </x:row>
    <x:row r="278">
      <x:c r="A278" s="22"/>
      <x:c r="B278" s="22"/>
      <x:c r="C278" s="22"/>
      <x:c r="D278" s="22"/>
      <x:c r="F278" s="22"/>
      <x:c r="G278" s="22"/>
      <x:c r="H278" s="22"/>
      <x:c r="I278" s="28"/>
    </x:row>
    <x:row r="279" ht="28.299999237060547">
      <x:c r="A279" s="22" t="s">
        <x:v>333</x:v>
      </x:c>
      <x:c r="B279" s="22" t="s">
        <x:v>329</x:v>
      </x:c>
      <x:c r="C279" s="22" t="s">
        <x:v>332</x:v>
      </x:c>
      <x:c r="D279" s="22" t="s">
        <x:v>125</x:v>
      </x:c>
      <x:c r="E279" s="62">
        <x:v>75</x:v>
      </x:c>
      <x:c r="F279" s="22" t="s">
        <x:v>27</x:v>
      </x:c>
      <x:c r="G279" s="22">
        <x:v>100</x:v>
      </x:c>
      <x:c r="H279" s="22">
        <x:v>0</x:v>
      </x:c>
      <x:c r="I279" s="28" t="s">
        <x:v>335</x:v>
      </x:c>
    </x:row>
    <x:row r="280" ht="28.299999237060547">
      <x:c r="A280" s="22" t="s">
        <x:v>333</x:v>
      </x:c>
      <x:c r="B280" s="22" t="s">
        <x:v>336</x:v>
      </x:c>
      <x:c r="C280" s="22" t="s">
        <x:v>332</x:v>
      </x:c>
      <x:c r="D280" s="22" t="s">
        <x:v>125</x:v>
      </x:c>
      <x:c r="E280" s="62">
        <x:v>85</x:v>
      </x:c>
      <x:c r="F280" s="22" t="s">
        <x:v>27</x:v>
      </x:c>
      <x:c r="G280" s="22">
        <x:v>100</x:v>
      </x:c>
      <x:c r="H280" s="22">
        <x:v>0</x:v>
      </x:c>
      <x:c r="I280" s="28" t="s">
        <x:v>335</x:v>
      </x:c>
    </x:row>
    <x:row r="281" ht="28.299999237060547">
      <x:c r="A281" s="22" t="s">
        <x:v>333</x:v>
      </x:c>
      <x:c r="B281" s="22" t="s">
        <x:v>325</x:v>
      </x:c>
      <x:c r="C281" s="22" t="s">
        <x:v>332</x:v>
      </x:c>
      <x:c r="D281" s="22" t="s">
        <x:v>125</x:v>
      </x:c>
      <x:c r="E281" s="63">
        <x:v>90</x:v>
      </x:c>
      <x:c r="F281" s="22" t="s">
        <x:v>27</x:v>
      </x:c>
      <x:c r="G281" s="22">
        <x:v>100</x:v>
      </x:c>
      <x:c r="H281" s="22">
        <x:v>0</x:v>
      </x:c>
      <x:c r="I281" s="28" t="s">
        <x:v>337</x:v>
      </x:c>
    </x:row>
    <x:row r="282">
      <x:c r="A282" s="22"/>
      <x:c r="B282" s="22"/>
      <x:c r="C282" s="22"/>
      <x:c r="D282" s="22"/>
      <x:c r="E282" s="62"/>
      <x:c r="F282" s="22"/>
      <x:c r="G282" s="22"/>
      <x:c r="H282" s="22"/>
      <x:c r="I282" s="28"/>
    </x:row>
    <x:row r="283">
      <x:c r="A283" s="22"/>
      <x:c r="B283" s="22"/>
      <x:c r="C283" s="22"/>
      <x:c r="D283" s="22"/>
      <x:c r="E283" s="62"/>
      <x:c r="F283" s="22"/>
      <x:c r="G283" s="22"/>
      <x:c r="H283" s="22"/>
      <x:c r="I283" s="28"/>
    </x:row>
    <x:row r="284" ht="56.599998474121094">
      <x:c r="A284" s="60" t="s">
        <x:v>338</x:v>
      </x:c>
      <x:c r="B284" s="60" t="s">
        <x:v>331</x:v>
      </x:c>
      <x:c r="C284" s="60" t="s">
        <x:v>334</x:v>
      </x:c>
      <x:c r="D284" s="22" t="s">
        <x:v>125</x:v>
      </x:c>
      <x:c r="E284" s="63">
        <x:v>10</x:v>
      </x:c>
      <x:c r="F284" s="22" t="s">
        <x:v>27</x:v>
      </x:c>
      <x:c r="G284" s="22">
        <x:v>100</x:v>
      </x:c>
      <x:c r="H284" s="22">
        <x:v>0</x:v>
      </x:c>
      <x:c r="I284" s="28" t="s">
        <x:v>339</x:v>
      </x:c>
    </x:row>
    <x:row r="285" ht="56.599998474121094">
      <x:c r="A285" s="60" t="s">
        <x:v>338</x:v>
      </x:c>
      <x:c r="B285" s="60" t="s">
        <x:v>340</x:v>
      </x:c>
      <x:c r="C285" s="60" t="s">
        <x:v>334</x:v>
      </x:c>
      <x:c r="D285" s="22" t="s">
        <x:v>125</x:v>
      </x:c>
      <x:c r="E285" s="62">
        <x:v>16</x:v>
      </x:c>
      <x:c r="F285" s="22" t="s">
        <x:v>27</x:v>
      </x:c>
      <x:c r="G285" s="22">
        <x:v>100</x:v>
      </x:c>
      <x:c r="H285" s="22">
        <x:v>0</x:v>
      </x:c>
      <x:c r="I285" s="28" t="s">
        <x:v>339</x:v>
      </x:c>
    </x:row>
    <x:row r="286" ht="56.599998474121094">
      <x:c r="A286" s="60" t="s">
        <x:v>338</x:v>
      </x:c>
      <x:c r="B286" s="60" t="s">
        <x:v>341</x:v>
      </x:c>
      <x:c r="C286" s="60" t="s">
        <x:v>334</x:v>
      </x:c>
      <x:c r="D286" s="22" t="s">
        <x:v>125</x:v>
      </x:c>
      <x:c r="E286" s="62">
        <x:v>22</x:v>
      </x:c>
      <x:c r="F286" s="22" t="s">
        <x:v>27</x:v>
      </x:c>
      <x:c r="G286" s="22">
        <x:v>100</x:v>
      </x:c>
      <x:c r="H286" s="22">
        <x:v>0</x:v>
      </x:c>
      <x:c r="I286" s="28" t="s">
        <x:v>339</x:v>
      </x:c>
    </x:row>
    <x:row r="287" ht="56.599998474121094">
      <x:c r="A287" s="60" t="s">
        <x:v>338</x:v>
      </x:c>
      <x:c r="B287" s="60" t="s">
        <x:v>342</x:v>
      </x:c>
      <x:c r="C287" s="60" t="s">
        <x:v>334</x:v>
      </x:c>
      <x:c r="D287" s="22" t="s">
        <x:v>125</x:v>
      </x:c>
      <x:c r="E287" s="62">
        <x:v>26</x:v>
      </x:c>
      <x:c r="F287" s="22" t="s">
        <x:v>27</x:v>
      </x:c>
      <x:c r="G287" s="22">
        <x:v>100</x:v>
      </x:c>
      <x:c r="H287" s="22">
        <x:v>0</x:v>
      </x:c>
      <x:c r="I287" s="28" t="s">
        <x:v>339</x:v>
      </x:c>
    </x:row>
    <x:row r="288" ht="42.45000076293945">
      <x:c r="A288" s="60" t="s">
        <x:v>338</x:v>
      </x:c>
      <x:c r="B288" s="60" t="s">
        <x:v>343</x:v>
      </x:c>
      <x:c r="C288" s="60" t="s">
        <x:v>334</x:v>
      </x:c>
      <x:c r="D288" s="22" t="s">
        <x:v>125</x:v>
      </x:c>
      <x:c r="E288" s="63">
        <x:v>28</x:v>
      </x:c>
      <x:c r="F288" s="22" t="s">
        <x:v>27</x:v>
      </x:c>
      <x:c r="G288" s="22">
        <x:v>100</x:v>
      </x:c>
      <x:c r="H288" s="22">
        <x:v>0</x:v>
      </x:c>
      <x:c r="I288" s="28" t="s">
        <x:v>344</x:v>
      </x:c>
    </x:row>
    <x:row r="289" ht="56.599998474121094">
      <x:c r="A289" s="60" t="s">
        <x:v>338</x:v>
      </x:c>
      <x:c r="B289" s="60" t="s">
        <x:v>345</x:v>
      </x:c>
      <x:c r="C289" s="60" t="s">
        <x:v>334</x:v>
      </x:c>
      <x:c r="D289" s="22" t="s">
        <x:v>125</x:v>
      </x:c>
      <x:c r="E289" s="62">
        <x:v>29</x:v>
      </x:c>
      <x:c r="F289" s="22" t="s">
        <x:v>27</x:v>
      </x:c>
      <x:c r="G289" s="22">
        <x:v>100</x:v>
      </x:c>
      <x:c r="H289" s="22">
        <x:v>0</x:v>
      </x:c>
      <x:c r="I289" s="28" t="s">
        <x:v>339</x:v>
      </x:c>
    </x:row>
    <x:row r="290" ht="42.45000076293945">
      <x:c r="A290" s="60" t="s">
        <x:v>338</x:v>
      </x:c>
      <x:c r="B290" s="60" t="s">
        <x:v>346</x:v>
      </x:c>
      <x:c r="C290" s="60" t="s">
        <x:v>334</x:v>
      </x:c>
      <x:c r="D290" s="22" t="s">
        <x:v>125</x:v>
      </x:c>
      <x:c r="E290" s="63">
        <x:v>30</x:v>
      </x:c>
      <x:c r="F290" s="22" t="s">
        <x:v>27</x:v>
      </x:c>
      <x:c r="G290" s="22">
        <x:v>100</x:v>
      </x:c>
      <x:c r="H290" s="22">
        <x:v>0</x:v>
      </x:c>
      <x:c r="I290" s="28" t="s">
        <x:v>344</x:v>
      </x:c>
    </x:row>
    <x:row r="291" ht="56.599998474121094">
      <x:c r="A291" s="60" t="s">
        <x:v>338</x:v>
      </x:c>
      <x:c r="B291" s="60" t="s">
        <x:v>347</x:v>
      </x:c>
      <x:c r="C291" s="60" t="s">
        <x:v>334</x:v>
      </x:c>
      <x:c r="D291" s="22" t="s">
        <x:v>125</x:v>
      </x:c>
      <x:c r="E291" s="62">
        <x:v>31</x:v>
      </x:c>
      <x:c r="F291" s="22" t="s">
        <x:v>27</x:v>
      </x:c>
      <x:c r="G291" s="22">
        <x:v>100</x:v>
      </x:c>
      <x:c r="H291" s="22">
        <x:v>0</x:v>
      </x:c>
      <x:c r="I291" s="28" t="s">
        <x:v>339</x:v>
      </x:c>
    </x:row>
    <x:row r="292" ht="56.599998474121094">
      <x:c r="A292" s="60" t="s">
        <x:v>338</x:v>
      </x:c>
      <x:c r="B292" s="60" t="s">
        <x:v>348</x:v>
      </x:c>
      <x:c r="C292" s="60" t="s">
        <x:v>334</x:v>
      </x:c>
      <x:c r="D292" s="22" t="s">
        <x:v>125</x:v>
      </x:c>
      <x:c r="E292" s="62">
        <x:v>32</x:v>
      </x:c>
      <x:c r="F292" s="22" t="s">
        <x:v>27</x:v>
      </x:c>
      <x:c r="G292" s="22">
        <x:v>100</x:v>
      </x:c>
      <x:c r="H292" s="22">
        <x:v>0</x:v>
      </x:c>
      <x:c r="I292" s="28" t="s">
        <x:v>339</x:v>
      </x:c>
    </x:row>
    <x:row r="293" ht="56.599998474121094">
      <x:c r="A293" s="60" t="s">
        <x:v>338</x:v>
      </x:c>
      <x:c r="B293" s="60" t="s">
        <x:v>349</x:v>
      </x:c>
      <x:c r="C293" s="60" t="s">
        <x:v>334</x:v>
      </x:c>
      <x:c r="D293" s="22" t="s">
        <x:v>125</x:v>
      </x:c>
      <x:c r="E293" s="62">
        <x:v>42</x:v>
      </x:c>
      <x:c r="F293" s="22" t="s">
        <x:v>27</x:v>
      </x:c>
      <x:c r="G293" s="22">
        <x:v>100</x:v>
      </x:c>
      <x:c r="H293" s="22">
        <x:v>0</x:v>
      </x:c>
      <x:c r="I293" s="28" t="s">
        <x:v>339</x:v>
      </x:c>
    </x:row>
    <x:row r="294" ht="56.599998474121094">
      <x:c r="A294" s="60" t="s">
        <x:v>338</x:v>
      </x:c>
      <x:c r="B294" s="60" t="s">
        <x:v>329</x:v>
      </x:c>
      <x:c r="C294" s="60" t="s">
        <x:v>334</x:v>
      </x:c>
      <x:c r="D294" s="22" t="s">
        <x:v>125</x:v>
      </x:c>
      <x:c r="E294" s="62">
        <x:v>47</x:v>
      </x:c>
      <x:c r="F294" s="22" t="s">
        <x:v>27</x:v>
      </x:c>
      <x:c r="G294" s="22">
        <x:v>100</x:v>
      </x:c>
      <x:c r="H294" s="22">
        <x:v>0</x:v>
      </x:c>
      <x:c r="I294" s="28" t="s">
        <x:v>339</x:v>
      </x:c>
    </x:row>
    <x:row r="295" ht="56.599998474121094">
      <x:c r="A295" s="60" t="s">
        <x:v>338</x:v>
      </x:c>
      <x:c r="B295" s="60" t="s">
        <x:v>328</x:v>
      </x:c>
      <x:c r="C295" s="60" t="s">
        <x:v>334</x:v>
      </x:c>
      <x:c r="D295" s="22" t="s">
        <x:v>125</x:v>
      </x:c>
      <x:c r="E295" s="62">
        <x:v>52</x:v>
      </x:c>
      <x:c r="F295" s="22" t="s">
        <x:v>27</x:v>
      </x:c>
      <x:c r="G295" s="22">
        <x:v>100</x:v>
      </x:c>
      <x:c r="H295" s="22">
        <x:v>0</x:v>
      </x:c>
      <x:c r="I295" s="28" t="s">
        <x:v>339</x:v>
      </x:c>
    </x:row>
    <x:row r="296" ht="56.599998474121094">
      <x:c r="A296" s="60" t="s">
        <x:v>338</x:v>
      </x:c>
      <x:c r="B296" s="60" t="s">
        <x:v>325</x:v>
      </x:c>
      <x:c r="C296" s="60" t="s">
        <x:v>334</x:v>
      </x:c>
      <x:c r="D296" s="22" t="s">
        <x:v>125</x:v>
      </x:c>
      <x:c r="E296" s="62">
        <x:v>60</x:v>
      </x:c>
      <x:c r="F296" s="22" t="s">
        <x:v>27</x:v>
      </x:c>
      <x:c r="G296" s="22">
        <x:v>100</x:v>
      </x:c>
      <x:c r="H296" s="22">
        <x:v>0</x:v>
      </x:c>
      <x:c r="I296" s="28" t="s">
        <x:v>339</x:v>
      </x:c>
    </x:row>
    <x:row r="297">
      <x:c r="A297" s="22"/>
      <x:c r="B297" s="60"/>
      <x:c r="C297" s="22"/>
      <x:c r="D297" s="22"/>
      <x:c r="F297" s="22"/>
      <x:c r="G297" s="22"/>
      <x:c r="H297" s="22"/>
      <x:c r="I297" s="28"/>
    </x:row>
    <x:row r="298">
      <x:c r="A298" s="22"/>
      <x:c r="B298" s="60"/>
      <x:c r="C298" s="22"/>
      <x:c r="D298" s="22"/>
      <x:c r="F298" s="22"/>
      <x:c r="G298" s="22"/>
      <x:c r="H298" s="22"/>
      <x:c r="I298" s="28"/>
    </x:row>
    <x:row r="299" ht="56.599998474121094">
      <x:c r="A299" s="60" t="s">
        <x:v>338</x:v>
      </x:c>
      <x:c r="B299" s="60" t="s">
        <x:v>331</x:v>
      </x:c>
      <x:c r="C299" s="60" t="s">
        <x:v>332</x:v>
      </x:c>
      <x:c r="D299" s="22" t="s">
        <x:v>125</x:v>
      </x:c>
      <x:c r="E299" s="63">
        <x:v>10</x:v>
      </x:c>
      <x:c r="F299" s="22" t="s">
        <x:v>27</x:v>
      </x:c>
      <x:c r="G299" s="22">
        <x:v>100</x:v>
      </x:c>
      <x:c r="H299" s="22">
        <x:v>0</x:v>
      </x:c>
      <x:c r="I299" s="28" t="s">
        <x:v>350</x:v>
      </x:c>
    </x:row>
    <x:row r="300" ht="56.599998474121094">
      <x:c r="A300" s="60" t="s">
        <x:v>338</x:v>
      </x:c>
      <x:c r="B300" s="60" t="s">
        <x:v>340</x:v>
      </x:c>
      <x:c r="C300" s="60" t="s">
        <x:v>332</x:v>
      </x:c>
      <x:c r="D300" s="22" t="s">
        <x:v>125</x:v>
      </x:c>
      <x:c r="E300" s="62">
        <x:v>16</x:v>
      </x:c>
      <x:c r="F300" s="22" t="s">
        <x:v>27</x:v>
      </x:c>
      <x:c r="G300" s="22">
        <x:v>100</x:v>
      </x:c>
      <x:c r="H300" s="22">
        <x:v>0</x:v>
      </x:c>
      <x:c r="I300" s="28" t="s">
        <x:v>351</x:v>
      </x:c>
    </x:row>
    <x:row r="301" ht="56.599998474121094">
      <x:c r="A301" s="60" t="s">
        <x:v>338</x:v>
      </x:c>
      <x:c r="B301" s="60" t="s">
        <x:v>341</x:v>
      </x:c>
      <x:c r="C301" s="60" t="s">
        <x:v>332</x:v>
      </x:c>
      <x:c r="D301" s="22" t="s">
        <x:v>125</x:v>
      </x:c>
      <x:c r="E301" s="62">
        <x:v>22</x:v>
      </x:c>
      <x:c r="F301" s="22" t="s">
        <x:v>27</x:v>
      </x:c>
      <x:c r="G301" s="22">
        <x:v>100</x:v>
      </x:c>
      <x:c r="H301" s="22">
        <x:v>0</x:v>
      </x:c>
      <x:c r="I301" s="28" t="s">
        <x:v>351</x:v>
      </x:c>
    </x:row>
    <x:row r="302" ht="56.599998474121094">
      <x:c r="A302" s="60" t="s">
        <x:v>338</x:v>
      </x:c>
      <x:c r="B302" s="60" t="s">
        <x:v>342</x:v>
      </x:c>
      <x:c r="C302" s="60" t="s">
        <x:v>332</x:v>
      </x:c>
      <x:c r="D302" s="22" t="s">
        <x:v>125</x:v>
      </x:c>
      <x:c r="E302" s="62">
        <x:v>27</x:v>
      </x:c>
      <x:c r="F302" s="22" t="s">
        <x:v>27</x:v>
      </x:c>
      <x:c r="G302" s="22">
        <x:v>100</x:v>
      </x:c>
      <x:c r="H302" s="22">
        <x:v>0</x:v>
      </x:c>
      <x:c r="I302" s="28" t="s">
        <x:v>351</x:v>
      </x:c>
    </x:row>
    <x:row r="303" ht="56.599998474121094">
      <x:c r="A303" s="60" t="s">
        <x:v>338</x:v>
      </x:c>
      <x:c r="B303" s="60" t="s">
        <x:v>343</x:v>
      </x:c>
      <x:c r="C303" s="60" t="s">
        <x:v>332</x:v>
      </x:c>
      <x:c r="D303" s="22" t="s">
        <x:v>125</x:v>
      </x:c>
      <x:c r="E303" s="63">
        <x:v>32</x:v>
      </x:c>
      <x:c r="F303" s="22" t="s">
        <x:v>27</x:v>
      </x:c>
      <x:c r="G303" s="22">
        <x:v>100</x:v>
      </x:c>
      <x:c r="H303" s="22">
        <x:v>0</x:v>
      </x:c>
      <x:c r="I303" s="28" t="s">
        <x:v>350</x:v>
      </x:c>
    </x:row>
    <x:row r="304" ht="56.599998474121094">
      <x:c r="A304" s="60" t="s">
        <x:v>338</x:v>
      </x:c>
      <x:c r="B304" s="60" t="s">
        <x:v>345</x:v>
      </x:c>
      <x:c r="C304" s="60" t="s">
        <x:v>332</x:v>
      </x:c>
      <x:c r="D304" s="22" t="s">
        <x:v>125</x:v>
      </x:c>
      <x:c r="E304" s="62">
        <x:v>34</x:v>
      </x:c>
      <x:c r="F304" s="22" t="s">
        <x:v>27</x:v>
      </x:c>
      <x:c r="G304" s="22">
        <x:v>100</x:v>
      </x:c>
      <x:c r="H304" s="22">
        <x:v>0</x:v>
      </x:c>
      <x:c r="I304" s="28" t="s">
        <x:v>351</x:v>
      </x:c>
    </x:row>
    <x:row r="305" ht="56.599998474121094">
      <x:c r="A305" s="60" t="s">
        <x:v>338</x:v>
      </x:c>
      <x:c r="B305" s="60" t="s">
        <x:v>346</x:v>
      </x:c>
      <x:c r="C305" s="60" t="s">
        <x:v>332</x:v>
      </x:c>
      <x:c r="D305" s="22" t="s">
        <x:v>125</x:v>
      </x:c>
      <x:c r="E305" s="62">
        <x:v>36</x:v>
      </x:c>
      <x:c r="F305" s="22" t="s">
        <x:v>27</x:v>
      </x:c>
      <x:c r="G305" s="22">
        <x:v>100</x:v>
      </x:c>
      <x:c r="H305" s="22">
        <x:v>0</x:v>
      </x:c>
      <x:c r="I305" s="28" t="s">
        <x:v>351</x:v>
      </x:c>
    </x:row>
    <x:row r="306" ht="56.599998474121094">
      <x:c r="A306" s="60" t="s">
        <x:v>338</x:v>
      </x:c>
      <x:c r="B306" s="60" t="s">
        <x:v>347</x:v>
      </x:c>
      <x:c r="C306" s="60" t="s">
        <x:v>332</x:v>
      </x:c>
      <x:c r="D306" s="22" t="s">
        <x:v>125</x:v>
      </x:c>
      <x:c r="E306" s="62">
        <x:v>38</x:v>
      </x:c>
      <x:c r="F306" s="22" t="s">
        <x:v>27</x:v>
      </x:c>
      <x:c r="G306" s="22">
        <x:v>100</x:v>
      </x:c>
      <x:c r="H306" s="22">
        <x:v>0</x:v>
      </x:c>
      <x:c r="I306" s="28" t="s">
        <x:v>351</x:v>
      </x:c>
    </x:row>
    <x:row r="307" ht="56.599998474121094">
      <x:c r="A307" s="60" t="s">
        <x:v>338</x:v>
      </x:c>
      <x:c r="B307" s="60" t="s">
        <x:v>348</x:v>
      </x:c>
      <x:c r="C307" s="60" t="s">
        <x:v>332</x:v>
      </x:c>
      <x:c r="D307" s="22" t="s">
        <x:v>125</x:v>
      </x:c>
      <x:c r="E307" s="62">
        <x:v>40</x:v>
      </x:c>
      <x:c r="F307" s="22" t="s">
        <x:v>27</x:v>
      </x:c>
      <x:c r="G307" s="22">
        <x:v>100</x:v>
      </x:c>
      <x:c r="H307" s="22">
        <x:v>0</x:v>
      </x:c>
      <x:c r="I307" s="28" t="s">
        <x:v>351</x:v>
      </x:c>
    </x:row>
    <x:row r="308" ht="56.599998474121094">
      <x:c r="A308" s="60" t="s">
        <x:v>338</x:v>
      </x:c>
      <x:c r="B308" s="60" t="s">
        <x:v>349</x:v>
      </x:c>
      <x:c r="C308" s="60" t="s">
        <x:v>332</x:v>
      </x:c>
      <x:c r="D308" s="22" t="s">
        <x:v>125</x:v>
      </x:c>
      <x:c r="E308" s="62">
        <x:v>55</x:v>
      </x:c>
      <x:c r="F308" s="22" t="s">
        <x:v>27</x:v>
      </x:c>
      <x:c r="G308" s="22">
        <x:v>100</x:v>
      </x:c>
      <x:c r="H308" s="22">
        <x:v>0</x:v>
      </x:c>
      <x:c r="I308" s="28" t="s">
        <x:v>351</x:v>
      </x:c>
    </x:row>
    <x:row r="309" ht="56.599998474121094">
      <x:c r="A309" s="60" t="s">
        <x:v>338</x:v>
      </x:c>
      <x:c r="B309" s="60" t="s">
        <x:v>329</x:v>
      </x:c>
      <x:c r="C309" s="60" t="s">
        <x:v>332</x:v>
      </x:c>
      <x:c r="D309" s="22" t="s">
        <x:v>125</x:v>
      </x:c>
      <x:c r="E309" s="62">
        <x:v>62</x:v>
      </x:c>
      <x:c r="F309" s="22" t="s">
        <x:v>27</x:v>
      </x:c>
      <x:c r="G309" s="22">
        <x:v>100</x:v>
      </x:c>
      <x:c r="H309" s="22">
        <x:v>0</x:v>
      </x:c>
      <x:c r="I309" s="28" t="s">
        <x:v>351</x:v>
      </x:c>
    </x:row>
    <x:row r="310" ht="56.599998474121094">
      <x:c r="A310" s="60" t="s">
        <x:v>338</x:v>
      </x:c>
      <x:c r="B310" s="60" t="s">
        <x:v>328</x:v>
      </x:c>
      <x:c r="C310" s="60" t="s">
        <x:v>332</x:v>
      </x:c>
      <x:c r="D310" s="22" t="s">
        <x:v>125</x:v>
      </x:c>
      <x:c r="E310" s="62">
        <x:v>70</x:v>
      </x:c>
      <x:c r="F310" s="22" t="s">
        <x:v>27</x:v>
      </x:c>
      <x:c r="G310" s="22">
        <x:v>100</x:v>
      </x:c>
      <x:c r="H310" s="22">
        <x:v>0</x:v>
      </x:c>
      <x:c r="I310" s="28" t="s">
        <x:v>351</x:v>
      </x:c>
    </x:row>
    <x:row r="311" ht="56.599998474121094">
      <x:c r="A311" s="60" t="s">
        <x:v>338</x:v>
      </x:c>
      <x:c r="B311" s="60" t="s">
        <x:v>325</x:v>
      </x:c>
      <x:c r="C311" s="60" t="s">
        <x:v>332</x:v>
      </x:c>
      <x:c r="D311" s="22" t="s">
        <x:v>125</x:v>
      </x:c>
      <x:c r="E311" s="62">
        <x:v>80</x:v>
      </x:c>
      <x:c r="F311" s="22" t="s">
        <x:v>27</x:v>
      </x:c>
      <x:c r="G311" s="22">
        <x:v>100</x:v>
      </x:c>
      <x:c r="H311" s="22">
        <x:v>0</x:v>
      </x:c>
      <x:c r="I311" s="28" t="s">
        <x:v>351</x:v>
      </x:c>
    </x:row>
    <x:row r="312">
      <x:c r="A312" s="22"/>
      <x:c r="B312" s="60"/>
      <x:c r="C312" s="22"/>
      <x:c r="D312" s="22"/>
      <x:c r="F312" s="22"/>
      <x:c r="G312" s="22"/>
      <x:c r="H312" s="22"/>
      <x:c r="I312" s="28"/>
    </x:row>
    <x:row r="313">
      <x:c r="A313" s="22"/>
      <x:c r="B313" s="60"/>
      <x:c r="C313" s="22"/>
      <x:c r="D313" s="22"/>
      <x:c r="F313" s="22"/>
      <x:c r="G313" s="22"/>
      <x:c r="H313" s="22"/>
      <x:c r="I313" s="28"/>
    </x:row>
    <x:row r="314">
      <x:c r="A314" s="22"/>
      <x:c r="B314" s="60"/>
      <x:c r="C314" s="22"/>
      <x:c r="D314" s="22"/>
      <x:c r="F314" s="22"/>
      <x:c r="G314" s="22"/>
      <x:c r="H314" s="22"/>
      <x:c r="I314" s="28"/>
    </x:row>
    <x:row r="315">
      <x:c r="A315" s="22"/>
      <x:c r="B315" s="60"/>
      <x:c r="C315" s="22"/>
      <x:c r="D315" s="22"/>
      <x:c r="F315" s="22"/>
      <x:c r="G315" s="22"/>
      <x:c r="H315" s="22"/>
      <x:c r="I315" s="28"/>
    </x:row>
    <x:row r="316">
      <x:c r="A316" s="22"/>
      <x:c r="B316" s="60"/>
      <x:c r="C316" s="22"/>
      <x:c r="D316" s="22"/>
      <x:c r="F316" s="22"/>
      <x:c r="G316" s="22"/>
      <x:c r="H316" s="22"/>
      <x:c r="I316" s="28"/>
    </x:row>
    <x:row r="317">
      <x:c r="A317" s="22"/>
      <x:c r="B317" s="22"/>
      <x:c r="C317" s="22"/>
      <x:c r="D317" s="22"/>
      <x:c r="F317" s="22"/>
      <x:c r="G317" s="22"/>
      <x:c r="H317" s="22"/>
      <x:c r="I317" s="28"/>
    </x:row>
    <x:row r="318">
      <x:c r="A318" s="22"/>
      <x:c r="B318" s="22"/>
      <x:c r="C318" s="22"/>
      <x:c r="D318" s="22"/>
      <x:c r="F318" s="22"/>
      <x:c r="G318" s="22"/>
      <x:c r="H318" s="22"/>
      <x:c r="I318" s="28"/>
    </x:row>
    <x:row r="319">
      <x:c r="A319" s="22" t="s">
        <x:v>352</x:v>
      </x:c>
      <x:c r="B319" s="22" t="s">
        <x:v>353</x:v>
      </x:c>
      <x:c r="C319" s="22" t="s">
        <x:v>332</x:v>
      </x:c>
      <x:c r="D319" s="22" t="s">
        <x:v>125</x:v>
      </x:c>
      <x:c r="E319" s="63">
        <x:v>12</x:v>
      </x:c>
      <x:c r="F319" s="22" t="s">
        <x:v>27</x:v>
      </x:c>
      <x:c r="G319" s="22">
        <x:v>100</x:v>
      </x:c>
      <x:c r="H319" s="22">
        <x:v>0</x:v>
      </x:c>
      <x:c r="I319" s="28" t="s">
        <x:v>354</x:v>
      </x:c>
    </x:row>
    <x:row r="320">
      <x:c r="A320" s="22" t="s">
        <x:v>352</x:v>
      </x:c>
      <x:c r="B320" s="22" t="s">
        <x:v>355</x:v>
      </x:c>
      <x:c r="C320" s="22" t="s">
        <x:v>332</x:v>
      </x:c>
      <x:c r="D320" s="22" t="s">
        <x:v>125</x:v>
      </x:c>
      <x:c r="E320" s="62">
        <x:v>16</x:v>
      </x:c>
      <x:c r="F320" s="22" t="s">
        <x:v>27</x:v>
      </x:c>
      <x:c r="G320" s="22">
        <x:v>100</x:v>
      </x:c>
      <x:c r="H320" s="22">
        <x:v>0</x:v>
      </x:c>
      <x:c r="I320" s="28" t="s">
        <x:v>356</x:v>
      </x:c>
    </x:row>
    <x:row r="321">
      <x:c r="A321" s="22" t="s">
        <x:v>352</x:v>
      </x:c>
      <x:c r="B321" s="22" t="s">
        <x:v>357</x:v>
      </x:c>
      <x:c r="C321" s="22" t="s">
        <x:v>332</x:v>
      </x:c>
      <x:c r="D321" s="22" t="s">
        <x:v>125</x:v>
      </x:c>
      <x:c r="E321" s="62">
        <x:v>24</x:v>
      </x:c>
      <x:c r="F321" s="22" t="s">
        <x:v>27</x:v>
      </x:c>
      <x:c r="G321" s="22">
        <x:v>100</x:v>
      </x:c>
      <x:c r="H321" s="22">
        <x:v>0</x:v>
      </x:c>
      <x:c r="I321" s="28" t="s">
        <x:v>356</x:v>
      </x:c>
    </x:row>
    <x:row r="322">
      <x:c r="A322" s="22"/>
      <x:c r="B322" s="22"/>
      <x:c r="C322" s="22"/>
      <x:c r="D322" s="22"/>
      <x:c r="F322" s="22"/>
      <x:c r="G322" s="22"/>
      <x:c r="H322" s="22"/>
      <x:c r="I322" s="28"/>
    </x:row>
    <x:row r="323">
      <x:c r="A323" s="22"/>
      <x:c r="B323" s="22"/>
      <x:c r="C323" s="22"/>
      <x:c r="D323" s="22"/>
      <x:c r="F323" s="22"/>
      <x:c r="G323" s="22"/>
      <x:c r="H323" s="22"/>
      <x:c r="I323" s="28"/>
    </x:row>
    <x:row r="324">
      <x:c r="A324" s="22"/>
      <x:c r="B324" s="22"/>
      <x:c r="C324" s="22"/>
      <x:c r="D324" s="22"/>
      <x:c r="F324" s="22"/>
      <x:c r="G324" s="22"/>
      <x:c r="H324" s="22"/>
      <x:c r="I324" s="28"/>
    </x:row>
    <x:row r="325" ht="28.299999237060547">
      <x:c r="A325" s="22" t="s">
        <x:v>358</x:v>
      </x:c>
      <x:c r="B325" s="22" t="s">
        <x:v>359</x:v>
      </x:c>
      <x:c r="C325" s="22" t="s">
        <x:v>360</x:v>
      </x:c>
      <x:c r="D325" s="22" t="s">
        <x:v>125</x:v>
      </x:c>
      <x:c r="E325" s="62">
        <x:v>25</x:v>
      </x:c>
      <x:c r="F325" s="22" t="s">
        <x:v>27</x:v>
      </x:c>
      <x:c r="G325" s="22">
        <x:v>100</x:v>
      </x:c>
      <x:c r="H325" s="22">
        <x:v>0</x:v>
      </x:c>
      <x:c r="I325" s="61" t="s">
        <x:v>361</x:v>
      </x:c>
    </x:row>
    <x:row r="326" ht="28.299999237060547">
      <x:c r="A326" s="22" t="s">
        <x:v>358</x:v>
      </x:c>
      <x:c r="B326" s="22" t="s">
        <x:v>359</x:v>
      </x:c>
      <x:c r="C326" s="22" t="s">
        <x:v>139</x:v>
      </x:c>
      <x:c r="D326" s="22" t="s">
        <x:v>125</x:v>
      </x:c>
      <x:c r="E326" s="62">
        <x:v>28</x:v>
      </x:c>
      <x:c r="F326" s="22" t="s">
        <x:v>27</x:v>
      </x:c>
      <x:c r="G326" s="22">
        <x:v>100</x:v>
      </x:c>
      <x:c r="H326" s="22">
        <x:v>0</x:v>
      </x:c>
      <x:c r="I326" s="61" t="s">
        <x:v>361</x:v>
      </x:c>
    </x:row>
    <x:row r="327" ht="28.299999237060547">
      <x:c r="A327" s="22" t="s">
        <x:v>358</x:v>
      </x:c>
      <x:c r="B327" s="22" t="s">
        <x:v>359</x:v>
      </x:c>
      <x:c r="C327" s="22" t="s">
        <x:v>140</x:v>
      </x:c>
      <x:c r="D327" s="22" t="s">
        <x:v>125</x:v>
      </x:c>
      <x:c r="E327" s="62">
        <x:v>32</x:v>
      </x:c>
      <x:c r="F327" s="22" t="s">
        <x:v>27</x:v>
      </x:c>
      <x:c r="G327" s="22">
        <x:v>100</x:v>
      </x:c>
      <x:c r="H327" s="22">
        <x:v>0</x:v>
      </x:c>
      <x:c r="I327" s="61" t="s">
        <x:v>361</x:v>
      </x:c>
    </x:row>
    <x:row r="328" ht="28.299999237060547">
      <x:c r="A328" s="22" t="s">
        <x:v>358</x:v>
      </x:c>
      <x:c r="B328" s="22" t="s">
        <x:v>359</x:v>
      </x:c>
      <x:c r="C328" s="22" t="s">
        <x:v>141</x:v>
      </x:c>
      <x:c r="D328" s="22" t="s">
        <x:v>125</x:v>
      </x:c>
      <x:c r="E328" s="62">
        <x:v>38</x:v>
      </x:c>
      <x:c r="F328" s="22" t="s">
        <x:v>27</x:v>
      </x:c>
      <x:c r="G328" s="22">
        <x:v>100</x:v>
      </x:c>
      <x:c r="H328" s="22">
        <x:v>0</x:v>
      </x:c>
      <x:c r="I328" s="61" t="s">
        <x:v>361</x:v>
      </x:c>
    </x:row>
    <x:row r="329" ht="28.299999237060547">
      <x:c r="A329" s="22" t="s">
        <x:v>358</x:v>
      </x:c>
      <x:c r="B329" s="22" t="s">
        <x:v>359</x:v>
      </x:c>
      <x:c r="C329" s="22" t="s">
        <x:v>142</x:v>
      </x:c>
      <x:c r="D329" s="22" t="s">
        <x:v>125</x:v>
      </x:c>
      <x:c r="E329" s="62">
        <x:v>48</x:v>
      </x:c>
      <x:c r="F329" s="22" t="s">
        <x:v>27</x:v>
      </x:c>
      <x:c r="G329" s="22">
        <x:v>100</x:v>
      </x:c>
      <x:c r="H329" s="22">
        <x:v>0</x:v>
      </x:c>
      <x:c r="I329" s="61" t="s">
        <x:v>361</x:v>
      </x:c>
    </x:row>
    <x:row r="330" ht="28.299999237060547">
      <x:c r="A330" s="22" t="s">
        <x:v>358</x:v>
      </x:c>
      <x:c r="B330" s="22" t="s">
        <x:v>359</x:v>
      </x:c>
      <x:c r="C330" s="22" t="s">
        <x:v>143</x:v>
      </x:c>
      <x:c r="D330" s="22" t="s">
        <x:v>125</x:v>
      </x:c>
      <x:c r="E330" s="63">
        <x:v>60</x:v>
      </x:c>
      <x:c r="F330" s="22" t="s">
        <x:v>27</x:v>
      </x:c>
      <x:c r="G330" s="22">
        <x:v>100</x:v>
      </x:c>
      <x:c r="H330" s="22">
        <x:v>0</x:v>
      </x:c>
      <x:c r="I330" s="61" t="s">
        <x:v>362</x:v>
      </x:c>
    </x:row>
    <x:row r="331" ht="28.299999237060547">
      <x:c r="A331" s="22" t="s">
        <x:v>358</x:v>
      </x:c>
      <x:c r="B331" s="22" t="s">
        <x:v>359</x:v>
      </x:c>
      <x:c r="C331" s="22" t="s">
        <x:v>144</x:v>
      </x:c>
      <x:c r="D331" s="22" t="s">
        <x:v>125</x:v>
      </x:c>
      <x:c r="E331" s="62">
        <x:v>72</x:v>
      </x:c>
      <x:c r="F331" s="22" t="s">
        <x:v>27</x:v>
      </x:c>
      <x:c r="G331" s="22">
        <x:v>100</x:v>
      </x:c>
      <x:c r="H331" s="22">
        <x:v>0</x:v>
      </x:c>
      <x:c r="I331" s="61" t="s">
        <x:v>361</x:v>
      </x:c>
    </x:row>
    <x:row r="332" ht="28.299999237060547">
      <x:c r="A332" s="22" t="s">
        <x:v>358</x:v>
      </x:c>
      <x:c r="B332" s="22" t="s">
        <x:v>359</x:v>
      </x:c>
      <x:c r="C332" s="22" t="s">
        <x:v>363</x:v>
      </x:c>
      <x:c r="D332" s="22" t="s">
        <x:v>125</x:v>
      </x:c>
      <x:c r="E332" s="62">
        <x:v>85</x:v>
      </x:c>
      <x:c r="F332" s="22" t="s">
        <x:v>27</x:v>
      </x:c>
      <x:c r="G332" s="22">
        <x:v>100</x:v>
      </x:c>
      <x:c r="H332" s="22">
        <x:v>0</x:v>
      </x:c>
      <x:c r="I332" s="61" t="s">
        <x:v>361</x:v>
      </x:c>
    </x:row>
    <x:row r="333">
      <x:c r="A333" s="22"/>
      <x:c r="B333" s="22"/>
      <x:c r="C333" s="22"/>
      <x:c r="D333" s="22"/>
      <x:c r="F333" s="22"/>
      <x:c r="G333" s="22"/>
      <x:c r="H333" s="22"/>
      <x:c r="I333" s="61"/>
    </x:row>
    <x:row r="334" ht="28.299999237060547">
      <x:c r="A334" s="22" t="s">
        <x:v>358</x:v>
      </x:c>
      <x:c r="B334" s="22" t="s">
        <x:v>364</x:v>
      </x:c>
      <x:c r="C334" s="22" t="s">
        <x:v>360</x:v>
      </x:c>
      <x:c r="D334" s="22" t="s">
        <x:v>125</x:v>
      </x:c>
      <x:c r="E334" s="62">
        <x:v>40</x:v>
      </x:c>
      <x:c r="F334" s="22" t="s">
        <x:v>27</x:v>
      </x:c>
      <x:c r="G334" s="22">
        <x:v>100</x:v>
      </x:c>
      <x:c r="H334" s="22">
        <x:v>0</x:v>
      </x:c>
      <x:c r="I334" s="61" t="s">
        <x:v>361</x:v>
      </x:c>
    </x:row>
    <x:row r="335" ht="28.299999237060547">
      <x:c r="A335" s="22" t="s">
        <x:v>358</x:v>
      </x:c>
      <x:c r="B335" s="22" t="s">
        <x:v>364</x:v>
      </x:c>
      <x:c r="C335" s="22" t="s">
        <x:v>139</x:v>
      </x:c>
      <x:c r="D335" s="22" t="s">
        <x:v>125</x:v>
      </x:c>
      <x:c r="E335" s="62">
        <x:v>45</x:v>
      </x:c>
      <x:c r="F335" s="22" t="s">
        <x:v>27</x:v>
      </x:c>
      <x:c r="G335" s="22">
        <x:v>100</x:v>
      </x:c>
      <x:c r="H335" s="22">
        <x:v>0</x:v>
      </x:c>
      <x:c r="I335" s="61" t="s">
        <x:v>361</x:v>
      </x:c>
    </x:row>
    <x:row r="336">
      <x:c r="A336" s="22"/>
      <x:c r="B336" s="22"/>
      <x:c r="C336" s="22"/>
      <x:c r="D336" s="22"/>
      <x:c r="E336" s="30"/>
      <x:c r="F336" s="22"/>
      <x:c r="G336" s="22"/>
      <x:c r="H336" s="22"/>
      <x:c r="I336" s="28"/>
    </x:row>
    <x:row r="337">
      <x:c r="A337" s="22"/>
      <x:c r="B337" s="22"/>
      <x:c r="C337" s="22"/>
      <x:c r="D337" s="22"/>
      <x:c r="E337" s="30"/>
      <x:c r="F337" s="22"/>
      <x:c r="G337" s="22"/>
      <x:c r="H337" s="22"/>
      <x:c r="I337" s="28"/>
    </x:row>
    <x:row r="338">
      <x:c r="A338" s="22"/>
      <x:c r="B338" s="22"/>
      <x:c r="C338" s="22"/>
      <x:c r="D338" s="22"/>
      <x:c r="E338" s="30"/>
      <x:c r="F338" s="22"/>
      <x:c r="G338" s="22"/>
      <x:c r="H338" s="22"/>
      <x:c r="I338" s="28"/>
    </x:row>
    <x:row r="339">
      <x:c r="A339" s="22"/>
      <x:c r="B339" s="22"/>
      <x:c r="C339" s="22"/>
      <x:c r="D339" s="22"/>
      <x:c r="E339" s="30"/>
      <x:c r="F339" s="22"/>
      <x:c r="G339" s="22"/>
      <x:c r="H339" s="22"/>
      <x:c r="I339" s="28"/>
    </x:row>
    <x:row r="340">
      <x:c r="A340" s="22"/>
      <x:c r="B340" s="22"/>
      <x:c r="C340" s="22"/>
      <x:c r="D340" s="22"/>
      <x:c r="E340" s="30"/>
      <x:c r="F340" s="22"/>
      <x:c r="G340" s="22"/>
      <x:c r="H340" s="22"/>
      <x:c r="I340" s="28"/>
    </x:row>
    <x:row r="341">
      <x:c r="A341" s="22"/>
      <x:c r="B341" s="22"/>
      <x:c r="C341" s="22"/>
      <x:c r="D341" s="22"/>
      <x:c r="E341" s="30"/>
      <x:c r="F341" s="22"/>
      <x:c r="G341" s="22"/>
      <x:c r="H341" s="22"/>
      <x:c r="I341" s="28"/>
    </x:row>
    <x:row r="342">
      <x:c r="A342" s="22"/>
      <x:c r="B342" s="22"/>
      <x:c r="C342" s="22"/>
      <x:c r="D342" s="22"/>
      <x:c r="E342" s="30"/>
      <x:c r="F342" s="22"/>
      <x:c r="G342" s="22"/>
      <x:c r="H342" s="22"/>
      <x:c r="I342" s="28"/>
    </x:row>
    <x:row r="343">
      <x:c r="A343" s="22"/>
      <x:c r="B343" s="22"/>
      <x:c r="C343" s="22"/>
      <x:c r="D343" s="22"/>
      <x:c r="E343" s="30"/>
      <x:c r="F343" s="22"/>
      <x:c r="G343" s="22"/>
      <x:c r="H343" s="22"/>
      <x:c r="I343" s="28"/>
    </x:row>
    <x:row r="344">
      <x:c r="A344" s="22"/>
      <x:c r="B344" s="22"/>
      <x:c r="C344" s="22"/>
      <x:c r="D344" s="22"/>
      <x:c r="E344" s="30"/>
      <x:c r="F344" s="22"/>
      <x:c r="G344" s="22"/>
      <x:c r="H344" s="22"/>
      <x:c r="I344" s="28"/>
    </x:row>
    <x:row r="345">
      <x:c r="A345" s="22"/>
      <x:c r="B345" s="22"/>
      <x:c r="C345" s="22"/>
      <x:c r="D345" s="22"/>
      <x:c r="E345" s="30"/>
      <x:c r="F345" s="22"/>
      <x:c r="G345" s="22"/>
      <x:c r="H345" s="22"/>
      <x:c r="I345" s="28"/>
    </x:row>
    <x:row r="346">
      <x:c r="A346" s="22"/>
      <x:c r="B346" s="22"/>
      <x:c r="C346" s="22"/>
      <x:c r="D346" s="22"/>
      <x:c r="E346" s="30"/>
      <x:c r="F346" s="22"/>
      <x:c r="G346" s="22"/>
      <x:c r="H346" s="22"/>
      <x:c r="I346" s="28"/>
    </x:row>
    <x:row r="347">
      <x:c r="A347" s="22"/>
      <x:c r="B347" s="22"/>
      <x:c r="C347" s="22"/>
      <x:c r="D347" s="22"/>
      <x:c r="E347" s="30"/>
      <x:c r="F347" s="22"/>
      <x:c r="G347" s="22"/>
      <x:c r="H347" s="22"/>
      <x:c r="I347" s="28"/>
    </x:row>
    <x:row r="348">
      <x:c r="A348" s="22"/>
      <x:c r="B348" s="22"/>
      <x:c r="C348" s="22"/>
      <x:c r="D348" s="22"/>
      <x:c r="E348" s="30"/>
      <x:c r="F348" s="22"/>
      <x:c r="G348" s="22"/>
      <x:c r="H348" s="22"/>
      <x:c r="I348" s="28"/>
    </x:row>
    <x:row r="349" ht="28.299999237060547">
      <x:c r="A349" s="22" t="s">
        <x:v>365</x:v>
      </x:c>
      <x:c r="B349" s="22" t="s">
        <x:v>366</x:v>
      </x:c>
      <x:c r="C349" s="22" t="s">
        <x:v>367</x:v>
      </x:c>
      <x:c r="D349" s="22" t="s">
        <x:v>125</x:v>
      </x:c>
      <x:c r="E349" s="30" t="n">
        <x:v>9</x:v>
      </x:c>
      <x:c r="F349" s="22" t="s">
        <x:v>27</x:v>
      </x:c>
      <x:c r="G349" s="22">
        <x:v>100</x:v>
      </x:c>
      <x:c r="H349" s="22">
        <x:v>0</x:v>
      </x:c>
      <x:c r="I349" s="28" t="str">
        <x:v>国产车规连接器壳体+端子估算；防水、CPA/TPA、镀层及供应商影响大，需RFQ；按用户内部采购口径调整为原价50%</x:v>
      </x:c>
    </x:row>
    <x:row r="350" ht="28.299999237060547">
      <x:c r="A350" s="22" t="s">
        <x:v>365</x:v>
      </x:c>
      <x:c r="B350" s="22" t="s">
        <x:v>366</x:v>
      </x:c>
      <x:c r="C350" s="22" t="s">
        <x:v>368</x:v>
      </x:c>
      <x:c r="D350" s="22" t="s">
        <x:v>125</x:v>
      </x:c>
      <x:c r="E350" s="30" t="n">
        <x:v>12.5</x:v>
      </x:c>
      <x:c r="F350" s="22" t="s">
        <x:v>27</x:v>
      </x:c>
      <x:c r="G350" s="22">
        <x:v>100</x:v>
      </x:c>
      <x:c r="H350" s="22">
        <x:v>0</x:v>
      </x:c>
      <x:c r="I350" s="28" t="str">
        <x:v>国产车规连接器壳体+端子估算；防水、CPA/TPA、镀层及供应商影响大，需RFQ；按用户内部采购口径调整为原价50%</x:v>
      </x:c>
    </x:row>
    <x:row r="351" ht="28.299999237060547">
      <x:c r="A351" s="22" t="s">
        <x:v>365</x:v>
      </x:c>
      <x:c r="B351" s="22" t="s">
        <x:v>366</x:v>
      </x:c>
      <x:c r="C351" s="22" t="s">
        <x:v>369</x:v>
      </x:c>
      <x:c r="D351" s="22" t="s">
        <x:v>125</x:v>
      </x:c>
      <x:c r="E351" s="30" t="n">
        <x:v>14</x:v>
      </x:c>
      <x:c r="F351" s="22" t="s">
        <x:v>27</x:v>
      </x:c>
      <x:c r="G351" s="22">
        <x:v>100</x:v>
      </x:c>
      <x:c r="H351" s="22">
        <x:v>0</x:v>
      </x:c>
      <x:c r="I351" s="28" t="str">
        <x:v>国产车规连接器壳体+端子估算；防水、CPA/TPA、镀层及供应商影响大，需RFQ；按用户内部采购口径调整为原价50%</x:v>
      </x:c>
    </x:row>
    <x:row r="352" ht="28.299999237060547">
      <x:c r="A352" s="22" t="s">
        <x:v>365</x:v>
      </x:c>
      <x:c r="B352" s="22" t="s">
        <x:v>366</x:v>
      </x:c>
      <x:c r="C352" s="22" t="s">
        <x:v>370</x:v>
      </x:c>
      <x:c r="D352" s="22" t="s">
        <x:v>125</x:v>
      </x:c>
      <x:c r="E352" s="30" t="n">
        <x:v>17.5</x:v>
      </x:c>
      <x:c r="F352" s="22" t="s">
        <x:v>27</x:v>
      </x:c>
      <x:c r="G352" s="22">
        <x:v>100</x:v>
      </x:c>
      <x:c r="H352" s="22">
        <x:v>0</x:v>
      </x:c>
      <x:c r="I352" s="28" t="str">
        <x:v>国产车规连接器壳体+端子估算；防水、CPA/TPA、镀层及供应商影响大，需RFQ；按用户内部采购口径调整为原价50%</x:v>
      </x:c>
    </x:row>
    <x:row r="353" ht="28.299999237060547">
      <x:c r="A353" s="22" t="s">
        <x:v>365</x:v>
      </x:c>
      <x:c r="B353" s="22" t="s">
        <x:v>366</x:v>
      </x:c>
      <x:c r="C353" s="22" t="s">
        <x:v>371</x:v>
      </x:c>
      <x:c r="D353" s="22" t="s">
        <x:v>125</x:v>
      </x:c>
      <x:c r="E353" s="30" t="n">
        <x:v>21</x:v>
      </x:c>
      <x:c r="F353" s="22" t="s">
        <x:v>27</x:v>
      </x:c>
      <x:c r="G353" s="22">
        <x:v>100</x:v>
      </x:c>
      <x:c r="H353" s="22">
        <x:v>0</x:v>
      </x:c>
      <x:c r="I353" s="28" t="str">
        <x:v>国产车规连接器壳体+端子估算；防水、CPA/TPA、镀层及供应商影响大，需RFQ；按用户内部采购口径调整为原价50%</x:v>
      </x:c>
    </x:row>
    <x:row r="354" ht="28.299999237060547">
      <x:c r="A354" s="22" t="s">
        <x:v>365</x:v>
      </x:c>
      <x:c r="B354" s="22" t="s">
        <x:v>366</x:v>
      </x:c>
      <x:c r="C354" s="22" t="s">
        <x:v>372</x:v>
      </x:c>
      <x:c r="D354" s="22" t="s">
        <x:v>125</x:v>
      </x:c>
      <x:c r="E354" s="30" t="n">
        <x:v>24</x:v>
      </x:c>
      <x:c r="F354" s="22" t="s">
        <x:v>27</x:v>
      </x:c>
      <x:c r="G354" s="22">
        <x:v>100</x:v>
      </x:c>
      <x:c r="H354" s="22">
        <x:v>0</x:v>
      </x:c>
      <x:c r="I354" s="28" t="str">
        <x:v>国产车规连接器壳体+端子估算；防水、CPA/TPA、镀层及供应商影响大，需RFQ；按用户内部采购口径调整为原价50%</x:v>
      </x:c>
    </x:row>
    <x:row r="355" ht="28.299999237060547">
      <x:c r="A355" s="22" t="s">
        <x:v>365</x:v>
      </x:c>
      <x:c r="B355" s="22" t="s">
        <x:v>366</x:v>
      </x:c>
      <x:c r="C355" s="22" t="s">
        <x:v>373</x:v>
      </x:c>
      <x:c r="D355" s="22" t="s">
        <x:v>125</x:v>
      </x:c>
      <x:c r="E355" s="30" t="n">
        <x:v>30</x:v>
      </x:c>
      <x:c r="F355" s="22" t="s">
        <x:v>27</x:v>
      </x:c>
      <x:c r="G355" s="22">
        <x:v>100</x:v>
      </x:c>
      <x:c r="H355" s="22">
        <x:v>0</x:v>
      </x:c>
      <x:c r="I355" s="28" t="str">
        <x:v>国产车规连接器壳体+端子估算；防水、CPA/TPA、镀层及供应商影响大，需RFQ；按用户内部采购口径调整为原价50%</x:v>
      </x:c>
    </x:row>
    <x:row r="356" ht="28.299999237060547">
      <x:c r="A356" s="22" t="s">
        <x:v>365</x:v>
      </x:c>
      <x:c r="B356" s="22" t="s">
        <x:v>366</x:v>
      </x:c>
      <x:c r="C356" s="22" t="s">
        <x:v>374</x:v>
      </x:c>
      <x:c r="D356" s="22" t="s">
        <x:v>125</x:v>
      </x:c>
      <x:c r="E356" s="30" t="n">
        <x:v>36</x:v>
      </x:c>
      <x:c r="F356" s="22" t="s">
        <x:v>27</x:v>
      </x:c>
      <x:c r="G356" s="22">
        <x:v>100</x:v>
      </x:c>
      <x:c r="H356" s="22">
        <x:v>0</x:v>
      </x:c>
      <x:c r="I356" s="28" t="str">
        <x:v>国产车规连接器壳体+端子估算；防水、CPA/TPA、镀层及供应商影响大，需RFQ；按用户内部采购口径调整为原价50%</x:v>
      </x:c>
    </x:row>
    <x:row r="357" ht="28.299999237060547">
      <x:c r="A357" s="22" t="s">
        <x:v>365</x:v>
      </x:c>
      <x:c r="B357" s="22" t="s">
        <x:v>375</x:v>
      </x:c>
      <x:c r="C357" s="22" t="s">
        <x:v>367</x:v>
      </x:c>
      <x:c r="D357" s="22" t="s">
        <x:v>125</x:v>
      </x:c>
      <x:c r="E357" s="30" t="n">
        <x:v>2</x:v>
      </x:c>
      <x:c r="F357" s="22" t="s">
        <x:v>27</x:v>
      </x:c>
      <x:c r="G357" s="22">
        <x:v>100</x:v>
      </x:c>
      <x:c r="H357" s="22">
        <x:v>0</x:v>
      </x:c>
      <x:c r="I357" s="28" t="str">
        <x:v>国产车规连接器壳体+端子估算；防水、CPA/TPA、镀层及供应商影响大，需RFQ；按用户内部采购口径调整为原价25%</x:v>
      </x:c>
    </x:row>
    <x:row r="358" ht="28.299999237060547">
      <x:c r="A358" s="22" t="s">
        <x:v>365</x:v>
      </x:c>
      <x:c r="B358" s="22" t="s">
        <x:v>375</x:v>
      </x:c>
      <x:c r="C358" s="22" t="s">
        <x:v>368</x:v>
      </x:c>
      <x:c r="D358" s="22" t="s">
        <x:v>125</x:v>
      </x:c>
      <x:c r="E358" s="30" t="n">
        <x:v>2.5</x:v>
      </x:c>
      <x:c r="F358" s="22" t="s">
        <x:v>27</x:v>
      </x:c>
      <x:c r="G358" s="22">
        <x:v>100</x:v>
      </x:c>
      <x:c r="H358" s="22">
        <x:v>0</x:v>
      </x:c>
      <x:c r="I358" s="28" t="str">
        <x:v>国产车规连接器壳体+端子估算；防水、CPA/TPA、镀层及供应商影响大，需RFQ；按用户内部采购口径调整为原价25%</x:v>
      </x:c>
    </x:row>
    <x:row r="359" ht="28.299999237060547">
      <x:c r="A359" s="22" t="s">
        <x:v>365</x:v>
      </x:c>
      <x:c r="B359" s="22" t="s">
        <x:v>375</x:v>
      </x:c>
      <x:c r="C359" s="22" t="s">
        <x:v>369</x:v>
      </x:c>
      <x:c r="D359" s="22" t="s">
        <x:v>125</x:v>
      </x:c>
      <x:c r="E359" s="30" t="n">
        <x:v>3</x:v>
      </x:c>
      <x:c r="F359" s="22" t="s">
        <x:v>27</x:v>
      </x:c>
      <x:c r="G359" s="22">
        <x:v>100</x:v>
      </x:c>
      <x:c r="H359" s="22">
        <x:v>0</x:v>
      </x:c>
      <x:c r="I359" s="28" t="str">
        <x:v>国产车规连接器壳体+端子估算；防水、CPA/TPA、镀层及供应商影响大，需RFQ；按用户内部采购口径调整为原价25%</x:v>
      </x:c>
    </x:row>
    <x:row r="360" ht="28.299999237060547">
      <x:c r="A360" s="22" t="s">
        <x:v>365</x:v>
      </x:c>
      <x:c r="B360" s="22" t="s">
        <x:v>375</x:v>
      </x:c>
      <x:c r="C360" s="22" t="s">
        <x:v>370</x:v>
      </x:c>
      <x:c r="D360" s="22" t="s">
        <x:v>125</x:v>
      </x:c>
      <x:c r="E360" s="30" t="n">
        <x:v>3.75</x:v>
      </x:c>
      <x:c r="F360" s="22" t="s">
        <x:v>27</x:v>
      </x:c>
      <x:c r="G360" s="22">
        <x:v>100</x:v>
      </x:c>
      <x:c r="H360" s="22">
        <x:v>0</x:v>
      </x:c>
      <x:c r="I360" s="28" t="str">
        <x:v>国产车规连接器壳体+端子估算；防水、CPA/TPA、镀层及供应商影响大，需RFQ；按用户内部采购口径调整为原价25%</x:v>
      </x:c>
    </x:row>
    <x:row r="361" ht="28.299999237060547">
      <x:c r="A361" s="22" t="s">
        <x:v>365</x:v>
      </x:c>
      <x:c r="B361" s="22" t="s">
        <x:v>375</x:v>
      </x:c>
      <x:c r="C361" s="22" t="s">
        <x:v>371</x:v>
      </x:c>
      <x:c r="D361" s="22" t="s">
        <x:v>125</x:v>
      </x:c>
      <x:c r="E361" s="30" t="n">
        <x:v>4.5</x:v>
      </x:c>
      <x:c r="F361" s="22" t="s">
        <x:v>27</x:v>
      </x:c>
      <x:c r="G361" s="22">
        <x:v>100</x:v>
      </x:c>
      <x:c r="H361" s="22">
        <x:v>0</x:v>
      </x:c>
      <x:c r="I361" s="28" t="str">
        <x:v>国产车规连接器壳体+端子估算；防水、CPA/TPA、镀层及供应商影响大，需RFQ；按用户内部采购口径调整为原价25%</x:v>
      </x:c>
    </x:row>
    <x:row r="362" ht="28.299999237060547">
      <x:c r="A362" s="22" t="s">
        <x:v>365</x:v>
      </x:c>
      <x:c r="B362" s="22" t="s">
        <x:v>375</x:v>
      </x:c>
      <x:c r="C362" s="22" t="s">
        <x:v>372</x:v>
      </x:c>
      <x:c r="D362" s="22" t="s">
        <x:v>125</x:v>
      </x:c>
      <x:c r="E362" s="30" t="n">
        <x:v>5.5</x:v>
      </x:c>
      <x:c r="F362" s="22" t="s">
        <x:v>27</x:v>
      </x:c>
      <x:c r="G362" s="22">
        <x:v>100</x:v>
      </x:c>
      <x:c r="H362" s="22">
        <x:v>0</x:v>
      </x:c>
      <x:c r="I362" s="28" t="str">
        <x:v>国产车规连接器壳体+端子估算；防水、CPA/TPA、镀层及供应商影响大，需RFQ；按用户内部采购口径调整为原价25%</x:v>
      </x:c>
    </x:row>
    <x:row r="363" ht="28.299999237060547">
      <x:c r="A363" s="22" t="s">
        <x:v>365</x:v>
      </x:c>
      <x:c r="B363" s="22" t="s">
        <x:v>375</x:v>
      </x:c>
      <x:c r="C363" s="22" t="s">
        <x:v>373</x:v>
      </x:c>
      <x:c r="D363" s="22" t="s">
        <x:v>125</x:v>
      </x:c>
      <x:c r="E363" s="30" t="n">
        <x:v>7</x:v>
      </x:c>
      <x:c r="F363" s="22" t="s">
        <x:v>27</x:v>
      </x:c>
      <x:c r="G363" s="22">
        <x:v>100</x:v>
      </x:c>
      <x:c r="H363" s="22">
        <x:v>0</x:v>
      </x:c>
      <x:c r="I363" s="28" t="str">
        <x:v>国产车规连接器壳体+端子估算；防水、CPA/TPA、镀层及供应商影响大，需RFQ；按用户内部采购口径调整为原价25%</x:v>
      </x:c>
    </x:row>
    <x:row r="364" ht="28.299999237060547">
      <x:c r="A364" s="22" t="s">
        <x:v>365</x:v>
      </x:c>
      <x:c r="B364" s="22" t="s">
        <x:v>375</x:v>
      </x:c>
      <x:c r="C364" s="22" t="s">
        <x:v>374</x:v>
      </x:c>
      <x:c r="D364" s="22" t="s">
        <x:v>125</x:v>
      </x:c>
      <x:c r="E364" s="30" t="n">
        <x:v>8.5</x:v>
      </x:c>
      <x:c r="F364" s="22" t="s">
        <x:v>27</x:v>
      </x:c>
      <x:c r="G364" s="22">
        <x:v>100</x:v>
      </x:c>
      <x:c r="H364" s="22">
        <x:v>0</x:v>
      </x:c>
      <x:c r="I364" s="28" t="str">
        <x:v>国产车规连接器壳体+端子估算；防水、CPA/TPA、镀层及供应商影响大，需RFQ；按用户内部采购口径调整为原价25%</x:v>
      </x:c>
    </x:row>
    <x:row r="365" ht="28.299999237060547">
      <x:c r="A365" s="22" t="s">
        <x:v>365</x:v>
      </x:c>
      <x:c r="B365" s="22" t="s">
        <x:v>376</x:v>
      </x:c>
      <x:c r="C365" s="22" t="s">
        <x:v>367</x:v>
      </x:c>
      <x:c r="D365" s="22" t="s">
        <x:v>125</x:v>
      </x:c>
      <x:c r="E365" s="30">
        <x:v>6</x:v>
      </x:c>
      <x:c r="F365" s="22" t="s">
        <x:v>27</x:v>
      </x:c>
      <x:c r="G365" s="22">
        <x:v>100</x:v>
      </x:c>
      <x:c r="H365" s="22">
        <x:v>0</x:v>
      </x:c>
      <x:c r="I365" s="28" t="s">
        <x:v>377</x:v>
      </x:c>
    </x:row>
    <x:row r="366" ht="28.299999237060547">
      <x:c r="A366" s="22" t="s">
        <x:v>365</x:v>
      </x:c>
      <x:c r="B366" s="22" t="s">
        <x:v>376</x:v>
      </x:c>
      <x:c r="C366" s="22" t="s">
        <x:v>368</x:v>
      </x:c>
      <x:c r="D366" s="22" t="s">
        <x:v>125</x:v>
      </x:c>
      <x:c r="E366" s="30">
        <x:v>8</x:v>
      </x:c>
      <x:c r="F366" s="22" t="s">
        <x:v>27</x:v>
      </x:c>
      <x:c r="G366" s="22">
        <x:v>100</x:v>
      </x:c>
      <x:c r="H366" s="22">
        <x:v>0</x:v>
      </x:c>
      <x:c r="I366" s="28" t="s">
        <x:v>377</x:v>
      </x:c>
    </x:row>
    <x:row r="367" ht="28.299999237060547">
      <x:c r="A367" s="22" t="s">
        <x:v>365</x:v>
      </x:c>
      <x:c r="B367" s="22" t="s">
        <x:v>376</x:v>
      </x:c>
      <x:c r="C367" s="22" t="s">
        <x:v>369</x:v>
      </x:c>
      <x:c r="D367" s="22" t="s">
        <x:v>125</x:v>
      </x:c>
      <x:c r="E367" s="30">
        <x:v>10</x:v>
      </x:c>
      <x:c r="F367" s="22" t="s">
        <x:v>27</x:v>
      </x:c>
      <x:c r="G367" s="22">
        <x:v>100</x:v>
      </x:c>
      <x:c r="H367" s="22">
        <x:v>0</x:v>
      </x:c>
      <x:c r="I367" s="28" t="s">
        <x:v>377</x:v>
      </x:c>
    </x:row>
    <x:row r="368" ht="28.299999237060547">
      <x:c r="A368" s="22" t="s">
        <x:v>365</x:v>
      </x:c>
      <x:c r="B368" s="22" t="s">
        <x:v>376</x:v>
      </x:c>
      <x:c r="C368" s="22" t="s">
        <x:v>370</x:v>
      </x:c>
      <x:c r="D368" s="22" t="s">
        <x:v>125</x:v>
      </x:c>
      <x:c r="E368" s="30">
        <x:v>12</x:v>
      </x:c>
      <x:c r="F368" s="22" t="s">
        <x:v>27</x:v>
      </x:c>
      <x:c r="G368" s="22">
        <x:v>100</x:v>
      </x:c>
      <x:c r="H368" s="22">
        <x:v>0</x:v>
      </x:c>
      <x:c r="I368" s="28" t="s">
        <x:v>377</x:v>
      </x:c>
    </x:row>
    <x:row r="369" ht="28.299999237060547">
      <x:c r="A369" s="22" t="s">
        <x:v>365</x:v>
      </x:c>
      <x:c r="B369" s="22" t="s">
        <x:v>376</x:v>
      </x:c>
      <x:c r="C369" s="22" t="s">
        <x:v>371</x:v>
      </x:c>
      <x:c r="D369" s="22" t="s">
        <x:v>125</x:v>
      </x:c>
      <x:c r="E369" s="30">
        <x:v>15</x:v>
      </x:c>
      <x:c r="F369" s="22" t="s">
        <x:v>27</x:v>
      </x:c>
      <x:c r="G369" s="22">
        <x:v>100</x:v>
      </x:c>
      <x:c r="H369" s="22">
        <x:v>0</x:v>
      </x:c>
      <x:c r="I369" s="28" t="s">
        <x:v>377</x:v>
      </x:c>
    </x:row>
    <x:row r="370" ht="28.299999237060547">
      <x:c r="A370" s="22" t="s">
        <x:v>365</x:v>
      </x:c>
      <x:c r="B370" s="22" t="s">
        <x:v>376</x:v>
      </x:c>
      <x:c r="C370" s="22" t="s">
        <x:v>372</x:v>
      </x:c>
      <x:c r="D370" s="22" t="s">
        <x:v>125</x:v>
      </x:c>
      <x:c r="E370" s="30">
        <x:v>18</x:v>
      </x:c>
      <x:c r="F370" s="22" t="s">
        <x:v>27</x:v>
      </x:c>
      <x:c r="G370" s="22">
        <x:v>100</x:v>
      </x:c>
      <x:c r="H370" s="22">
        <x:v>0</x:v>
      </x:c>
      <x:c r="I370" s="28" t="s">
        <x:v>377</x:v>
      </x:c>
    </x:row>
    <x:row r="371" ht="28.299999237060547">
      <x:c r="A371" s="22" t="s">
        <x:v>365</x:v>
      </x:c>
      <x:c r="B371" s="22" t="s">
        <x:v>376</x:v>
      </x:c>
      <x:c r="C371" s="22" t="s">
        <x:v>373</x:v>
      </x:c>
      <x:c r="D371" s="22" t="s">
        <x:v>125</x:v>
      </x:c>
      <x:c r="E371" s="30">
        <x:v>22</x:v>
      </x:c>
      <x:c r="F371" s="22" t="s">
        <x:v>27</x:v>
      </x:c>
      <x:c r="G371" s="22">
        <x:v>100</x:v>
      </x:c>
      <x:c r="H371" s="22">
        <x:v>0</x:v>
      </x:c>
      <x:c r="I371" s="28" t="s">
        <x:v>377</x:v>
      </x:c>
    </x:row>
    <x:row r="372" ht="28.299999237060547">
      <x:c r="A372" s="22" t="s">
        <x:v>365</x:v>
      </x:c>
      <x:c r="B372" s="22" t="s">
        <x:v>376</x:v>
      </x:c>
      <x:c r="C372" s="22" t="s">
        <x:v>374</x:v>
      </x:c>
      <x:c r="D372" s="22" t="s">
        <x:v>125</x:v>
      </x:c>
      <x:c r="E372" s="30">
        <x:v>28</x:v>
      </x:c>
      <x:c r="F372" s="22" t="s">
        <x:v>27</x:v>
      </x:c>
      <x:c r="G372" s="22">
        <x:v>100</x:v>
      </x:c>
      <x:c r="H372" s="22">
        <x:v>0</x:v>
      </x:c>
      <x:c r="I372" s="28" t="s">
        <x:v>377</x:v>
      </x:c>
    </x:row>
    <x:row r="373">
      <x:c r="A373" s="22"/>
      <x:c r="B373" s="22"/>
      <x:c r="C373" s="22"/>
      <x:c r="D373" s="22"/>
      <x:c r="E373" s="30"/>
      <x:c r="F373" s="22"/>
      <x:c r="G373" s="22"/>
      <x:c r="H373" s="22"/>
      <x:c r="I373" s="28"/>
    </x:row>
    <x:row r="374">
      <x:c r="A374" s="22"/>
      <x:c r="B374" s="22"/>
      <x:c r="C374" s="22"/>
      <x:c r="D374" s="22"/>
      <x:c r="E374" s="30"/>
      <x:c r="F374" s="22"/>
      <x:c r="G374" s="22"/>
      <x:c r="H374" s="22"/>
      <x:c r="I374" s="28"/>
    </x:row>
    <x:row r="375">
      <x:c r="A375" s="22"/>
      <x:c r="B375" s="22"/>
      <x:c r="C375" s="22"/>
      <x:c r="D375" s="22"/>
      <x:c r="E375" s="30"/>
      <x:c r="F375" s="22"/>
      <x:c r="G375" s="22"/>
      <x:c r="H375" s="22"/>
      <x:c r="I375" s="28"/>
    </x:row>
    <x:row r="376">
      <x:c r="A376" s="22"/>
      <x:c r="B376" s="22"/>
      <x:c r="C376" s="22"/>
      <x:c r="D376" s="22"/>
      <x:c r="E376" s="30"/>
      <x:c r="F376" s="22"/>
      <x:c r="G376" s="22"/>
      <x:c r="H376" s="22"/>
      <x:c r="I376" s="28"/>
    </x:row>
    <x:row r="377">
      <x:c r="A377" s="22"/>
      <x:c r="B377" s="22"/>
      <x:c r="C377" s="22"/>
      <x:c r="D377" s="22"/>
      <x:c r="E377" s="30"/>
      <x:c r="F377" s="22"/>
      <x:c r="G377" s="22"/>
      <x:c r="H377" s="22"/>
      <x:c r="I377" s="28"/>
    </x:row>
    <x:row r="378" ht="28.299999237060547">
      <x:c r="A378" s="22" t="s">
        <x:v>378</x:v>
      </x:c>
      <x:c r="B378" s="22" t="s">
        <x:v>379</x:v>
      </x:c>
      <x:c r="C378" s="22"/>
      <x:c r="D378" s="22" t="s">
        <x:v>125</x:v>
      </x:c>
      <x:c r="E378" s="26">
        <x:v>2.5</x:v>
      </x:c>
      <x:c r="F378" s="22" t="s">
        <x:v>27</x:v>
      </x:c>
      <x:c r="G378" s="22">
        <x:v>100</x:v>
      </x:c>
      <x:c r="H378" s="22">
        <x:v>0</x:v>
      </x:c>
      <x:c r="I378" s="28" t="s">
        <x:v>380</x:v>
      </x:c>
    </x:row>
    <x:row r="379" ht="28.299999237060547">
      <x:c r="A379" s="22" t="s">
        <x:v>378</x:v>
      </x:c>
      <x:c r="B379" s="22" t="s">
        <x:v>381</x:v>
      </x:c>
      <x:c r="C379" s="22"/>
      <x:c r="D379" s="22" t="s">
        <x:v>125</x:v>
      </x:c>
      <x:c r="E379" s="26">
        <x:v>3.5</x:v>
      </x:c>
      <x:c r="F379" s="22" t="s">
        <x:v>27</x:v>
      </x:c>
      <x:c r="G379" s="22">
        <x:v>100</x:v>
      </x:c>
      <x:c r="H379" s="22">
        <x:v>0</x:v>
      </x:c>
      <x:c r="I379" s="28" t="s">
        <x:v>380</x:v>
      </x:c>
    </x:row>
    <x:row r="380" ht="28.299999237060547">
      <x:c r="A380" s="22" t="s">
        <x:v>378</x:v>
      </x:c>
      <x:c r="B380" s="22" t="s">
        <x:v>382</x:v>
      </x:c>
      <x:c r="C380" s="22"/>
      <x:c r="D380" s="22" t="s">
        <x:v>125</x:v>
      </x:c>
      <x:c r="E380" s="26">
        <x:v>7</x:v>
      </x:c>
      <x:c r="F380" s="22" t="s">
        <x:v>27</x:v>
      </x:c>
      <x:c r="G380" s="22">
        <x:v>100</x:v>
      </x:c>
      <x:c r="H380" s="22">
        <x:v>0</x:v>
      </x:c>
      <x:c r="I380" s="28" t="s">
        <x:v>380</x:v>
      </x:c>
    </x:row>
    <x:row r="381" ht="28.299999237060547">
      <x:c r="A381" s="22" t="s">
        <x:v>378</x:v>
      </x:c>
      <x:c r="B381" s="22" t="s">
        <x:v>383</x:v>
      </x:c>
      <x:c r="C381" s="22"/>
      <x:c r="D381" s="22" t="s">
        <x:v>125</x:v>
      </x:c>
      <x:c r="E381" s="26">
        <x:v>11</x:v>
      </x:c>
      <x:c r="F381" s="22" t="s">
        <x:v>27</x:v>
      </x:c>
      <x:c r="G381" s="22">
        <x:v>100</x:v>
      </x:c>
      <x:c r="H381" s="22">
        <x:v>0</x:v>
      </x:c>
      <x:c r="I381" s="28" t="s">
        <x:v>380</x:v>
      </x:c>
    </x:row>
    <x:row r="382">
      <x:c r="A382" s="22" t="s">
        <x:v>378</x:v>
      </x:c>
      <x:c r="B382" s="22" t="s">
        <x:v>384</x:v>
      </x:c>
      <x:c r="C382" s="22"/>
      <x:c r="D382" s="22" t="s">
        <x:v>125</x:v>
      </x:c>
      <x:c r="E382" s="26">
        <x:v>0.6</x:v>
      </x:c>
      <x:c r="F382" s="22" t="s">
        <x:v>27</x:v>
      </x:c>
      <x:c r="G382" s="22">
        <x:v>100</x:v>
      </x:c>
      <x:c r="H382" s="22">
        <x:v>0</x:v>
      </x:c>
      <x:c r="I382" s="28" t="s">
        <x:v>385</x:v>
      </x:c>
    </x:row>
    <x:row r="383">
      <x:c r="A383" s="22"/>
      <x:c r="B383" s="22"/>
      <x:c r="C383" s="22"/>
      <x:c r="D383" s="22"/>
      <x:c r="E383" s="30"/>
      <x:c r="F383" s="22"/>
      <x:c r="G383" s="22"/>
      <x:c r="H383" s="22"/>
      <x:c r="I383" s="28"/>
    </x:row>
    <x:row r="392">
      <x:c r="A392" s="24" t="s">
        <x:v>386</x:v>
      </x:c>
      <x:c r="B392" s="24" t="s">
        <x:v>387</x:v>
      </x:c>
      <x:c r="C392" s="24" t="s">
        <x:v>388</x:v>
      </x:c>
      <x:c r="D392" s="24" t="s">
        <x:v>93</x:v>
      </x:c>
      <x:c r="E392" s="26">
        <x:v>120</x:v>
      </x:c>
      <x:c r="F392" s="24" t="s">
        <x:v>27</x:v>
      </x:c>
      <x:c r="G392" s="24">
        <x:v>85</x:v>
      </x:c>
      <x:c r="H392" s="24">
        <x:v>0</x:v>
      </x:c>
      <x:c r="I392" s="25" t="s">
        <x:v>389</x:v>
      </x:c>
    </x:row>
    <x:row r="393">
      <x:c r="A393" s="24" t="s">
        <x:v>386</x:v>
      </x:c>
      <x:c r="B393" s="24" t="s">
        <x:v>390</x:v>
      </x:c>
      <x:c r="C393" s="24" t="s">
        <x:v>391</x:v>
      </x:c>
      <x:c r="D393" s="24" t="s">
        <x:v>223</x:v>
      </x:c>
      <x:c r="E393" s="26">
        <x:v>0.08</x:v>
      </x:c>
      <x:c r="F393" s="24" t="s">
        <x:v>27</x:v>
      </x:c>
      <x:c r="G393" s="24">
        <x:v>100</x:v>
      </x:c>
      <x:c r="H393" s="24">
        <x:v>0</x:v>
      </x:c>
      <x:c r="I393" s="25" t="s">
        <x:v>392</x:v>
      </x:c>
    </x:row>
    <x:row r="394">
      <x:c r="A394" s="24" t="s">
        <x:v>393</x:v>
      </x:c>
      <x:c r="B394" s="24" t="s">
        <x:v>394</x:v>
      </x:c>
      <x:c r="C394" s="24" t="s">
        <x:v>395</x:v>
      </x:c>
      <x:c r="D394" s="24" t="s">
        <x:v>125</x:v>
      </x:c>
      <x:c r="E394" s="26">
        <x:v>0.2</x:v>
      </x:c>
      <x:c r="F394" s="24" t="s">
        <x:v>27</x:v>
      </x:c>
      <x:c r="G394" s="24">
        <x:v>100</x:v>
      </x:c>
      <x:c r="H394" s="24">
        <x:v>0</x:v>
      </x:c>
      <x:c r="I394" s="25" t="s">
        <x:v>396</x:v>
      </x:c>
    </x:row>
    <x:row r="395">
      <x:c r="A395" s="24" t="s">
        <x:v>393</x:v>
      </x:c>
      <x:c r="B395" s="24" t="s">
        <x:v>394</x:v>
      </x:c>
      <x:c r="C395" s="24" t="s">
        <x:v>397</x:v>
      </x:c>
      <x:c r="D395" s="24" t="s">
        <x:v>125</x:v>
      </x:c>
      <x:c r="E395" s="26">
        <x:v>1.2</x:v>
      </x:c>
      <x:c r="F395" s="24" t="s">
        <x:v>27</x:v>
      </x:c>
      <x:c r="G395" s="24">
        <x:v>100</x:v>
      </x:c>
      <x:c r="H395" s="24">
        <x:v>0</x:v>
      </x:c>
      <x:c r="I395" s="25" t="s">
        <x:v>396</x:v>
      </x:c>
    </x:row>
    <x:row r="396">
      <x:c r="A396" t="str">
        <x:v>贴膜材料</x:v>
      </x:c>
      <x:c r="B396" t="str">
        <x:v>PE低粘保护膜</x:v>
      </x:c>
      <x:c r="C396" t="str">
        <x:v>透明，0.05mm</x:v>
      </x:c>
      <x:c r="D396" t="str">
        <x:v>m2</x:v>
      </x:c>
      <x:c r="E396" t="n">
        <x:v>2.8</x:v>
      </x:c>
      <x:c r="F396" t="str">
        <x:v>N</x:v>
      </x:c>
      <x:c r="G396" t="n">
        <x:v>92</x:v>
      </x:c>
      <x:c r="H396" t="n">
        <x:v>0</x:v>
      </x:c>
      <x:c r="I396" t="str">
        <x:v>2026-08批量概算；按实际贴覆面积计量，复杂曲面/搭接需提高损耗，需RFQ；https://www.3m.com/3M/en_US/p/c/films-sheeting/i/automotive/</x:v>
      </x:c>
    </x:row>
    <x:row r="397">
      <x:c r="A397" t="str">
        <x:v>贴膜材料</x:v>
      </x:c>
      <x:c r="B397" t="str">
        <x:v>PE中粘保护膜</x:v>
      </x:c>
      <x:c r="C397" t="str">
        <x:v>蓝色，0.06mm</x:v>
      </x:c>
      <x:c r="D397" t="str">
        <x:v>m2</x:v>
      </x:c>
      <x:c r="E397" t="n">
        <x:v>3.8</x:v>
      </x:c>
      <x:c r="F397" t="str">
        <x:v>N</x:v>
      </x:c>
      <x:c r="G397" t="n">
        <x:v>92</x:v>
      </x:c>
      <x:c r="H397" t="n">
        <x:v>0</x:v>
      </x:c>
      <x:c r="I397" t="str">
        <x:v>2026-08批量概算；按实际贴覆面积计量，胶系和剥离力影响大，需RFQ；https://www.3m.com/3M/en_US/p/c/films-sheeting/i/automotive/</x:v>
      </x:c>
    </x:row>
    <x:row r="398">
      <x:c r="A398" t="str">
        <x:v>贴膜材料</x:v>
      </x:c>
      <x:c r="B398" t="str">
        <x:v>PET保护膜</x:v>
      </x:c>
      <x:c r="C398" t="str">
        <x:v>透明，0.05mm</x:v>
      </x:c>
      <x:c r="D398" t="str">
        <x:v>m2</x:v>
      </x:c>
      <x:c r="E398" t="n">
        <x:v>7.5</x:v>
      </x:c>
      <x:c r="F398" t="str">
        <x:v>N</x:v>
      </x:c>
      <x:c r="G398" t="n">
        <x:v>90</x:v>
      </x:c>
      <x:c r="H398" t="n">
        <x:v>0</x:v>
      </x:c>
      <x:c r="I398" t="str">
        <x:v>2026-08批量概算；洁净度、胶系和剥离力影响大，需RFQ；https://www.3m.com/3M/en_US/p/c/films-sheeting/i/automotive/</x:v>
      </x:c>
    </x:row>
    <x:row r="399">
      <x:c r="A399" t="str">
        <x:v>贴膜材料</x:v>
      </x:c>
      <x:c r="B399" t="str">
        <x:v>PET硬化防刮膜</x:v>
      </x:c>
      <x:c r="C399" t="str">
        <x:v>HC，0.125mm</x:v>
      </x:c>
      <x:c r="D399" t="str">
        <x:v>m2</x:v>
      </x:c>
      <x:c r="E399" t="n">
        <x:v>18</x:v>
      </x:c>
      <x:c r="F399" t="str">
        <x:v>N</x:v>
      </x:c>
      <x:c r="G399" t="n">
        <x:v>88</x:v>
      </x:c>
      <x:c r="H399" t="n">
        <x:v>0</x:v>
      </x:c>
      <x:c r="I399" t="str">
        <x:v>2026-08批量概算；硬度、雾度和表面处理影响大，需RFQ；https://www.3m.com/3M/en_US/p/c/films-sheeting/i/automotive/</x:v>
      </x:c>
    </x:row>
    <x:row r="400">
      <x:c r="A400" t="str">
        <x:v>贴膜材料</x:v>
      </x:c>
      <x:c r="B400" t="str">
        <x:v>防静电PET保护膜</x:v>
      </x:c>
      <x:c r="C400" t="str">
        <x:v>0.05mm，10^6-10^9Ω</x:v>
      </x:c>
      <x:c r="D400" t="str">
        <x:v>m2</x:v>
      </x:c>
      <x:c r="E400" t="n">
        <x:v>12</x:v>
      </x:c>
      <x:c r="F400" t="str">
        <x:v>N</x:v>
      </x:c>
      <x:c r="G400" t="n">
        <x:v>90</x:v>
      </x:c>
      <x:c r="H400" t="n">
        <x:v>0</x:v>
      </x:c>
      <x:c r="I400" t="str">
        <x:v>2026-08批量概算；表面电阻和洁净等级影响大，需RFQ；https://www.3m.com/3M/en_US/p/c/films-sheeting/i/automotive/</x:v>
      </x:c>
    </x:row>
    <x:row r="401">
      <x:c r="A401" t="str">
        <x:v>贴膜材料</x:v>
      </x:c>
      <x:c r="B401" t="str">
        <x:v>PVC装饰膜</x:v>
      </x:c>
      <x:c r="C401" t="str">
        <x:v>压延级，0.12mm</x:v>
      </x:c>
      <x:c r="D401" t="str">
        <x:v>m2</x:v>
      </x:c>
      <x:c r="E401" t="n">
        <x:v>22</x:v>
      </x:c>
      <x:c r="F401" t="str">
        <x:v>N</x:v>
      </x:c>
      <x:c r="G401" t="n">
        <x:v>85</x:v>
      </x:c>
      <x:c r="H401" t="n">
        <x:v>0</x:v>
      </x:c>
      <x:c r="I401" t="str">
        <x:v>2026-08批量概算；纹理、颜色和耐候等级影响大，需RFQ；https://www.3m.com/3M/en_US/p/c/films-sheeting/i/automotive/</x:v>
      </x:c>
    </x:row>
    <x:row r="402">
      <x:c r="A402" t="str">
        <x:v>贴膜材料</x:v>
      </x:c>
      <x:c r="B402" t="str">
        <x:v>铸造级汽车改色膜</x:v>
      </x:c>
      <x:c r="C402" t="str">
        <x:v>PVC，约0.10mm</x:v>
      </x:c>
      <x:c r="D402" t="str">
        <x:v>m2</x:v>
      </x:c>
      <x:c r="E402" t="n">
        <x:v>75</x:v>
      </x:c>
      <x:c r="F402" t="str">
        <x:v>N</x:v>
      </x:c>
      <x:c r="G402" t="n">
        <x:v>80</x:v>
      </x:c>
      <x:c r="H402" t="n">
        <x:v>0</x:v>
      </x:c>
      <x:c r="I402" t="str">
        <x:v>2026-08批量概算；复杂曲面需预留拉伸、包边和裁切损耗，需RFQ；https://www.3m.com/3M/en_US/p/c/films-sheeting/i/automotive/</x:v>
      </x:c>
    </x:row>
    <x:row r="403">
      <x:c r="A403" t="str">
        <x:v>贴膜材料</x:v>
      </x:c>
      <x:c r="B403" t="str">
        <x:v>TPU漆面保护膜（国产）</x:v>
      </x:c>
      <x:c r="C403" t="str">
        <x:v>含胶约0.20mm</x:v>
      </x:c>
      <x:c r="D403" t="str">
        <x:v>m2</x:v>
      </x:c>
      <x:c r="E403" t="n">
        <x:v>110</x:v>
      </x:c>
      <x:c r="F403" t="str">
        <x:v>N</x:v>
      </x:c>
      <x:c r="G403" t="n">
        <x:v>78</x:v>
      </x:c>
      <x:c r="H403" t="n">
        <x:v>0</x:v>
      </x:c>
      <x:c r="I403" t="str">
        <x:v>2026-08批量概算；涂层、胶系和耐黄变等级影响大，需RFQ；https://www.3m.com/3M/en_US/p/c/films-sheeting/i/automotive/</x:v>
      </x:c>
    </x:row>
    <x:row r="404">
      <x:c r="A404" t="str">
        <x:v>贴膜材料</x:v>
      </x:c>
      <x:c r="B404" t="str">
        <x:v>TPU漆面保护膜（品牌级）</x:v>
      </x:c>
      <x:c r="C404" t="str">
        <x:v>含胶约0.20mm</x:v>
      </x:c>
      <x:c r="D404" t="str">
        <x:v>m2</x:v>
      </x:c>
      <x:c r="E404" t="n">
        <x:v>240</x:v>
      </x:c>
      <x:c r="F404" t="str">
        <x:v>N</x:v>
      </x:c>
      <x:c r="G404" t="n">
        <x:v>78</x:v>
      </x:c>
      <x:c r="H404" t="n">
        <x:v>0</x:v>
      </x:c>
      <x:c r="I404" t="str">
        <x:v>2026-08批量概算；公开资料示例含胶厚度约0.20mm，品牌和质保影响大，需RFQ；https://www.3m.com/3M/en_US/p/c/films-sheeting/i/automotive/</x:v>
      </x:c>
    </x:row>
    <x:row r="405">
      <x:c r="A405" t="str">
        <x:v>贴膜材料</x:v>
      </x:c>
      <x:c r="B405" t="str">
        <x:v>镀铝PET反射膜</x:v>
      </x:c>
      <x:c r="C405" t="str">
        <x:v>0.05mm</x:v>
      </x:c>
      <x:c r="D405" t="str">
        <x:v>m2</x:v>
      </x:c>
      <x:c r="E405" t="n">
        <x:v>15</x:v>
      </x:c>
      <x:c r="F405" t="str">
        <x:v>N</x:v>
      </x:c>
      <x:c r="G405" t="n">
        <x:v>88</x:v>
      </x:c>
      <x:c r="H405" t="n">
        <x:v>0</x:v>
      </x:c>
      <x:c r="I405" t="str">
        <x:v>2026-08批量概算；反射率、阻燃及复合背胶影响大，需RFQ</x:v>
      </x:c>
    </x:row>
    <x:row r="406">
      <x:c r="A406" t="str">
        <x:v>贴膜材料</x:v>
      </x:c>
      <x:c r="B406" t="str">
        <x:v>转移定位膜</x:v>
      </x:c>
      <x:c r="C406" t="str">
        <x:v>中粘，0.08mm</x:v>
      </x:c>
      <x:c r="D406" t="str">
        <x:v>m2</x:v>
      </x:c>
      <x:c r="E406" t="n">
        <x:v>5.5</x:v>
      </x:c>
      <x:c r="F406" t="str">
        <x:v>N</x:v>
      </x:c>
      <x:c r="G406" t="n">
        <x:v>90</x:v>
      </x:c>
      <x:c r="H406" t="n">
        <x:v>0</x:v>
      </x:c>
      <x:c r="I406" t="str">
        <x:v>2026-08批量概算；用于图文/装饰膜定位，按展开面积计量，需RFQ</x:v>
      </x:c>
    </x:row>
    <x:row r="407">
      <x:c r="A407" t="str">
        <x:v>涂装材料</x:v>
      </x:c>
      <x:c r="B407" t="str">
        <x:v>水性环氧底漆</x:v>
      </x:c>
      <x:c r="C407" t="str">
        <x:v>标准干膜15-25μm</x:v>
      </x:c>
      <x:c r="D407" t="str">
        <x:v>m2</x:v>
      </x:c>
      <x:c r="E407" t="n">
        <x:v>6.5</x:v>
      </x:c>
      <x:c r="F407" t="str">
        <x:v>N</x:v>
      </x:c>
      <x:c r="G407" t="n">
        <x:v>75</x:v>
      </x:c>
      <x:c r="H407" t="n">
        <x:v>0</x:v>
      </x:c>
      <x:c r="I407" t="str">
        <x:v>2026-08批量概算；按标准膜厚与喷涂面积折算，含常规过喷损耗，不含施工费，需RFQ</x:v>
      </x:c>
    </x:row>
    <x:row r="408">
      <x:c r="A408" t="str">
        <x:v>涂装材料</x:v>
      </x:c>
      <x:c r="B408" t="str">
        <x:v>2K中涂底漆</x:v>
      </x:c>
      <x:c r="C408" t="str">
        <x:v>标准干膜25-35μm</x:v>
      </x:c>
      <x:c r="D408" t="str">
        <x:v>m2</x:v>
      </x:c>
      <x:c r="E408" t="n">
        <x:v>8</x:v>
      </x:c>
      <x:c r="F408" t="str">
        <x:v>N</x:v>
      </x:c>
      <x:c r="G408" t="n">
        <x:v>72</x:v>
      </x:c>
      <x:c r="H408" t="n">
        <x:v>0</x:v>
      </x:c>
      <x:c r="I408" t="str">
        <x:v>2026-08批量概算；按标准膜厚与喷涂面积折算，复杂结构需调整利用率，需RFQ</x:v>
      </x:c>
    </x:row>
    <x:row r="409">
      <x:c r="A409" t="str">
        <x:v>涂装材料</x:v>
      </x:c>
      <x:c r="B409" t="str">
        <x:v>水性色漆（素色）</x:v>
      </x:c>
      <x:c r="C409" t="str">
        <x:v>标准干膜15-20μm</x:v>
      </x:c>
      <x:c r="D409" t="str">
        <x:v>m2</x:v>
      </x:c>
      <x:c r="E409" t="n">
        <x:v>8.5</x:v>
      </x:c>
      <x:c r="F409" t="str">
        <x:v>N</x:v>
      </x:c>
      <x:c r="G409" t="n">
        <x:v>70</x:v>
      </x:c>
      <x:c r="H409" t="n">
        <x:v>0</x:v>
      </x:c>
      <x:c r="I409" t="str">
        <x:v>2026-08批量概算；颜色和遮盖力影响大，按喷涂面积折算，需RFQ</x:v>
      </x:c>
    </x:row>
    <x:row r="410">
      <x:c r="A410" t="str">
        <x:v>涂装材料</x:v>
      </x:c>
      <x:c r="B410" t="str">
        <x:v>水性色漆（金属色）</x:v>
      </x:c>
      <x:c r="C410" t="str">
        <x:v>标准干膜15-20μm</x:v>
      </x:c>
      <x:c r="D410" t="str">
        <x:v>m2</x:v>
      </x:c>
      <x:c r="E410" t="n">
        <x:v>11.5</x:v>
      </x:c>
      <x:c r="F410" t="str">
        <x:v>N</x:v>
      </x:c>
      <x:c r="G410" t="n">
        <x:v>68</x:v>
      </x:c>
      <x:c r="H410" t="n">
        <x:v>0</x:v>
      </x:c>
      <x:c r="I410" t="str">
        <x:v>2026-08批量概算；铝粉粒径和颜色影响大，按喷涂面积折算，需RFQ</x:v>
      </x:c>
    </x:row>
    <x:row r="411">
      <x:c r="A411" t="str">
        <x:v>涂装材料</x:v>
      </x:c>
      <x:c r="B411" t="str">
        <x:v>珠光色漆</x:v>
      </x:c>
      <x:c r="C411" t="str">
        <x:v>标准干膜20-25μm</x:v>
      </x:c>
      <x:c r="D411" t="str">
        <x:v>m2</x:v>
      </x:c>
      <x:c r="E411" t="n">
        <x:v>16</x:v>
      </x:c>
      <x:c r="F411" t="str">
        <x:v>N</x:v>
      </x:c>
      <x:c r="G411" t="n">
        <x:v>65</x:v>
      </x:c>
      <x:c r="H411" t="n">
        <x:v>0</x:v>
      </x:c>
      <x:c r="I411" t="str">
        <x:v>2026-08批量概算；多层珠光体系应分别添加，需RFQ</x:v>
      </x:c>
    </x:row>
    <x:row r="412">
      <x:c r="A412" t="str">
        <x:v>涂装材料</x:v>
      </x:c>
      <x:c r="B412" t="str">
        <x:v>2K高光清漆</x:v>
      </x:c>
      <x:c r="C412" t="str">
        <x:v>标准干膜35-45μm</x:v>
      </x:c>
      <x:c r="D412" t="str">
        <x:v>m2</x:v>
      </x:c>
      <x:c r="E412" t="n">
        <x:v>13</x:v>
      </x:c>
      <x:c r="F412" t="str">
        <x:v>N</x:v>
      </x:c>
      <x:c r="G412" t="n">
        <x:v>72</x:v>
      </x:c>
      <x:c r="H412" t="n">
        <x:v>0</x:v>
      </x:c>
      <x:c r="I412" t="str">
        <x:v>2026-08批量概算；含主剂/固化剂标准配比，按喷涂面积折算，需RFQ</x:v>
      </x:c>
    </x:row>
    <x:row r="413">
      <x:c r="A413" t="str">
        <x:v>涂装材料</x:v>
      </x:c>
      <x:c r="B413" t="str">
        <x:v>2K哑光清漆</x:v>
      </x:c>
      <x:c r="C413" t="str">
        <x:v>标准干膜35-45μm</x:v>
      </x:c>
      <x:c r="D413" t="str">
        <x:v>m2</x:v>
      </x:c>
      <x:c r="E413" t="n">
        <x:v>15</x:v>
      </x:c>
      <x:c r="F413" t="str">
        <x:v>N</x:v>
      </x:c>
      <x:c r="G413" t="n">
        <x:v>70</x:v>
      </x:c>
      <x:c r="H413" t="n">
        <x:v>0</x:v>
      </x:c>
      <x:c r="I413" t="str">
        <x:v>2026-08批量概算；光泽和耐候等级影响大，按喷涂面积折算，需RFQ</x:v>
      </x:c>
    </x:row>
    <x:row r="414">
      <x:c r="A414" t="str">
        <x:v>涂装材料</x:v>
      </x:c>
      <x:c r="B414" t="str">
        <x:v>塑料附着力促进剂</x:v>
      </x:c>
      <x:c r="C414" t="str">
        <x:v>标准干膜5-10μm</x:v>
      </x:c>
      <x:c r="D414" t="str">
        <x:v>m2</x:v>
      </x:c>
      <x:c r="E414" t="n">
        <x:v>3.5</x:v>
      </x:c>
      <x:c r="F414" t="str">
        <x:v>N</x:v>
      </x:c>
      <x:c r="G414" t="n">
        <x:v>75</x:v>
      </x:c>
      <x:c r="H414" t="n">
        <x:v>0</x:v>
      </x:c>
      <x:c r="I414" t="str">
        <x:v>2026-08批量概算；PP/PE等低表面能基材建议配置，需RFQ</x:v>
      </x:c>
    </x:row>
    <x:row r="415">
      <x:c r="A415" t="str">
        <x:v>涂装材料</x:v>
      </x:c>
      <x:c r="B415" t="str">
        <x:v>耐高温涂料</x:v>
      </x:c>
      <x:c r="C415" t="str">
        <x:v>标准干膜25-35μm</x:v>
      </x:c>
      <x:c r="D415" t="str">
        <x:v>m2</x:v>
      </x:c>
      <x:c r="E415" t="n">
        <x:v>18</x:v>
      </x:c>
      <x:c r="F415" t="str">
        <x:v>N</x:v>
      </x:c>
      <x:c r="G415" t="n">
        <x:v>70</x:v>
      </x:c>
      <x:c r="H415" t="n">
        <x:v>0</x:v>
      </x:c>
      <x:c r="I415" t="str">
        <x:v>2026-08批量概算；耐温等级和树脂体系影响大，需RFQ</x:v>
      </x:c>
    </x:row>
    <x:row r="416">
      <x:c r="A416" t="str">
        <x:v>粉末涂料</x:v>
      </x:c>
      <x:c r="B416" t="str">
        <x:v>环氧聚酯混合粉末</x:v>
      </x:c>
      <x:c r="C416" t="str">
        <x:v>标准膜厚60-80μm</x:v>
      </x:c>
      <x:c r="D416" t="str">
        <x:v>m2</x:v>
      </x:c>
      <x:c r="E416" t="n">
        <x:v>4.8</x:v>
      </x:c>
      <x:c r="F416" t="str">
        <x:v>N</x:v>
      </x:c>
      <x:c r="G416" t="n">
        <x:v>78</x:v>
      </x:c>
      <x:c r="H416" t="n">
        <x:v>0</x:v>
      </x:c>
      <x:c r="I416" t="str">
        <x:v>2026-08批量概算；按膜厚、密度和回收粉比例折算，需RFQ；https://powdercoatings.brand.akzonobel.com/m/6288a6f873eb2614/original/JD004QF-Interpon-600.pdf</x:v>
      </x:c>
    </x:row>
    <x:row r="417">
      <x:c r="A417" t="str">
        <x:v>粉末涂料</x:v>
      </x:c>
      <x:c r="B417" t="str">
        <x:v>纯聚酯耐候粉末</x:v>
      </x:c>
      <x:c r="C417" t="str">
        <x:v>标准膜厚60-80μm</x:v>
      </x:c>
      <x:c r="D417" t="str">
        <x:v>m2</x:v>
      </x:c>
      <x:c r="E417" t="n">
        <x:v>5.6</x:v>
      </x:c>
      <x:c r="F417" t="str">
        <x:v>N</x:v>
      </x:c>
      <x:c r="G417" t="n">
        <x:v>78</x:v>
      </x:c>
      <x:c r="H417" t="n">
        <x:v>0</x:v>
      </x:c>
      <x:c r="I417" t="str">
        <x:v>2026-08批量概算；按膜厚、密度和回收粉比例折算，需RFQ；https://powdercoatings.brand.akzonobel.com/m/6288a6f873eb2614/original/JD004QF-Interpon-600.pdf</x:v>
      </x:c>
    </x:row>
    <x:row r="418">
      <x:c r="A418" t="str">
        <x:v>粉末涂料</x:v>
      </x:c>
      <x:c r="B418" t="str">
        <x:v>纹理/哑光粉末</x:v>
      </x:c>
      <x:c r="C418" t="str">
        <x:v>标准膜厚70-90μm</x:v>
      </x:c>
      <x:c r="D418" t="str">
        <x:v>m2</x:v>
      </x:c>
      <x:c r="E418" t="n">
        <x:v>6.5</x:v>
      </x:c>
      <x:c r="F418" t="str">
        <x:v>N</x:v>
      </x:c>
      <x:c r="G418" t="n">
        <x:v>75</x:v>
      </x:c>
      <x:c r="H418" t="n">
        <x:v>0</x:v>
      </x:c>
      <x:c r="I418" t="str">
        <x:v>2026-08批量概算；纹理、光泽和颜色影响大，需RFQ；https://powdercoatings.brand.akzonobel.com/m/6288a6f873eb2614/original/JD004QF-Interpon-600.pdf</x:v>
      </x:c>
    </x:row>
    <x:row r="419">
      <x:c r="A419" t="str">
        <x:v>粉末涂料</x:v>
      </x:c>
      <x:c r="B419" t="str">
        <x:v>电气绝缘粉末</x:v>
      </x:c>
      <x:c r="C419" t="str">
        <x:v>标准膜厚250-450μm</x:v>
      </x:c>
      <x:c r="D419" t="str">
        <x:v>m2</x:v>
      </x:c>
      <x:c r="E419" t="n">
        <x:v>19</x:v>
      </x:c>
      <x:c r="F419" t="str">
        <x:v>N</x:v>
      </x:c>
      <x:c r="G419" t="n">
        <x:v>68</x:v>
      </x:c>
      <x:c r="H419" t="n">
        <x:v>0</x:v>
      </x:c>
      <x:c r="I419" t="str">
        <x:v>2026-08批量概算；介电等级、厚膜和边缘覆盖影响大，需RFQ；https://powdercoatings.brand.akzonobel.com/m/6288a6f873eb2614/original/JD004QF-Interpon-600.pdf</x:v>
      </x:c>
    </x:row>
    <x:row r="420">
      <x:c r="A420" t="str">
        <x:v>阳极氧化耗材</x:v>
      </x:c>
      <x:c r="B420" t="str">
        <x:v>除油/碱蚀/除灰药剂包</x:v>
      </x:c>
      <x:c r="C420" t="str">
        <x:v>标准前处理</x:v>
      </x:c>
      <x:c r="D420" t="str">
        <x:v>m2</x:v>
      </x:c>
      <x:c r="E420" t="n">
        <x:v>2.2</x:v>
      </x:c>
      <x:c r="F420" t="str">
        <x:v>N</x:v>
      </x:c>
      <x:c r="G420" t="n">
        <x:v>85</x:v>
      </x:c>
      <x:c r="H420" t="n">
        <x:v>0</x:v>
      </x:c>
      <x:c r="I420" t="str">
        <x:v>2026-08批量概算；按处理面积折算的槽液消耗，不含工序人工与设备，需RFQ；https://www.anodizing.org/anodizing-reference-guide/</x:v>
      </x:c>
    </x:row>
    <x:row r="421">
      <x:c r="A421" t="str">
        <x:v>阳极氧化耗材</x:v>
      </x:c>
      <x:c r="B421" t="str">
        <x:v>硫酸阳极氧化药剂包</x:v>
      </x:c>
      <x:c r="C421" t="str">
        <x:v>Type II，10-15μm</x:v>
      </x:c>
      <x:c r="D421" t="str">
        <x:v>m2</x:v>
      </x:c>
      <x:c r="E421" t="n">
        <x:v>5.5</x:v>
      </x:c>
      <x:c r="F421" t="str">
        <x:v>N</x:v>
      </x:c>
      <x:c r="G421" t="n">
        <x:v>82</x:v>
      </x:c>
      <x:c r="H421" t="n">
        <x:v>0</x:v>
      </x:c>
      <x:c r="I421" t="str">
        <x:v>2026-08批量概算；按处理面积和标准膜厚折算，不含前处理/着色/封孔，需RFQ；https://www.anodizing.org/anodizing-reference-guide/</x:v>
      </x:c>
    </x:row>
    <x:row r="422">
      <x:c r="A422" t="str">
        <x:v>阳极氧化耗材</x:v>
      </x:c>
      <x:c r="B422" t="str">
        <x:v>电解着色/染色药剂包</x:v>
      </x:c>
      <x:c r="C422" t="str">
        <x:v>黑色/常规色</x:v>
      </x:c>
      <x:c r="D422" t="str">
        <x:v>m2</x:v>
      </x:c>
      <x:c r="E422" t="n">
        <x:v>3.5</x:v>
      </x:c>
      <x:c r="F422" t="str">
        <x:v>N</x:v>
      </x:c>
      <x:c r="G422" t="n">
        <x:v>80</x:v>
      </x:c>
      <x:c r="H422" t="n">
        <x:v>0</x:v>
      </x:c>
      <x:c r="I422" t="str">
        <x:v>2026-08批量概算；颜色、耐候性及色差要求影响大，需RFQ；https://www.qualanod.net/anodizing-type-decision-tree.html</x:v>
      </x:c>
    </x:row>
    <x:row r="423">
      <x:c r="A423" t="str">
        <x:v>阳极氧化耗材</x:v>
      </x:c>
      <x:c r="B423" t="str">
        <x:v>封孔药剂包</x:v>
      </x:c>
      <x:c r="C423" t="str">
        <x:v>热水/镍盐封孔</x:v>
      </x:c>
      <x:c r="D423" t="str">
        <x:v>m2</x:v>
      </x:c>
      <x:c r="E423" t="n">
        <x:v>2</x:v>
      </x:c>
      <x:c r="F423" t="str">
        <x:v>N</x:v>
      </x:c>
      <x:c r="G423" t="n">
        <x:v>85</x:v>
      </x:c>
      <x:c r="H423" t="n">
        <x:v>0</x:v>
      </x:c>
      <x:c r="I423" t="str">
        <x:v>2026-08批量概算；按处理面积折算，封孔方式和耐蚀要求影响大，需RFQ；https://www.anodizing.org/anodizing-reference-guide/</x:v>
      </x:c>
    </x:row>
    <x:row r="424">
      <x:c r="A424" t="str">
        <x:v>阳极氧化耗材</x:v>
      </x:c>
      <x:c r="B424" t="str">
        <x:v>硬质阳极氧化药剂包</x:v>
      </x:c>
      <x:c r="C424" t="str">
        <x:v>Type III，25-50μm</x:v>
      </x:c>
      <x:c r="D424" t="str">
        <x:v>m2</x:v>
      </x:c>
      <x:c r="E424" t="n">
        <x:v>12</x:v>
      </x:c>
      <x:c r="F424" t="str">
        <x:v>N</x:v>
      </x:c>
      <x:c r="G424" t="n">
        <x:v>76</x:v>
      </x:c>
      <x:c r="H424" t="n">
        <x:v>0</x:v>
      </x:c>
      <x:c r="I424" t="str">
        <x:v>2026-08批量概算；按处理面积与厚膜能耗/槽液消耗折算，不含工序费，需RFQ；https://www.qualanod.net/anodizing-type-decision-tree.html</x:v>
      </x:c>
    </x:row>
    <x:row r="426">
      <x:c r="A426" t="str">
        <x:v>电子元器件</x:v>
      </x:c>
      <x:c r="B426" t="str">
        <x:v>NTC热敏电阻</x:v>
      </x:c>
      <x:c r="C426" t="str">
        <x:v>兴勤（FPC用，具体料号按项目）</x:v>
      </x:c>
      <x:c r="D426" t="str">
        <x:v>pcs</x:v>
      </x:c>
      <x:c r="E426" s="102" t="n">
        <x:v>0.32</x:v>
      </x:c>
      <x:c r="F426" t="str">
        <x:v>N</x:v>
      </x:c>
      <x:c r="G426" t="n">
        <x:v>100</x:v>
      </x:c>
      <x:c r="H426" t="n">
        <x:v>0</x:v>
      </x:c>
      <x:c r="I426" t="str">
        <x:v>用户提供的公司内部采购参考价；FPC用兴勤NTC，单价0.32元/只</x:v>
      </x:c>
    </x:row>
    <x:row r="427">
      <x:c r="A427" t="str">
        <x:v>SMT焊接材料</x:v>
      </x:c>
      <x:c r="B427" t="str">
        <x:v>无铅焊锡膏</x:v>
      </x:c>
      <x:c r="C427" t="str">
        <x:v>SAC305，T3，无卤免清洗</x:v>
      </x:c>
      <x:c r="D427" t="str">
        <x:v>g</x:v>
      </x:c>
      <x:c r="E427" s="102" t="n">
        <x:v>0.32</x:v>
      </x:c>
      <x:c r="F427" t="str">
        <x:v>N</x:v>
      </x:c>
      <x:c r="G427" t="n">
        <x:v>95</x:v>
      </x:c>
      <x:c r="H427" t="n">
        <x:v>0</x:v>
      </x:c>
      <x:c r="I427" t="str">
        <x:v>2026-08国内批量估价基准；合金、粉末粒径、卤素等级和品牌影响大，需RFQ；https://www.macdermidalpha.com/products/circuit-board-assembly/surface-mount-technology/solder-pastes</x:v>
      </x:c>
    </x:row>
    <x:row r="428">
      <x:c r="A428" t="str">
        <x:v>SMT焊接材料</x:v>
      </x:c>
      <x:c r="B428" t="str">
        <x:v>无铅焊锡膏</x:v>
      </x:c>
      <x:c r="C428" t="str">
        <x:v>SAC305，T4，无卤免清洗</x:v>
      </x:c>
      <x:c r="D428" t="str">
        <x:v>g</x:v>
      </x:c>
      <x:c r="E428" s="102" t="n">
        <x:v>0.38</x:v>
      </x:c>
      <x:c r="F428" t="str">
        <x:v>N</x:v>
      </x:c>
      <x:c r="G428" t="n">
        <x:v>95</x:v>
      </x:c>
      <x:c r="H428" t="n">
        <x:v>0</x:v>
      </x:c>
      <x:c r="I428" t="str">
        <x:v>适用于常规细间距SMT；T4相较T3粉末更细，价格略高，需RFQ；https://www.macdermidalpha.com/products/circuit-board-assembly/surface-mount-technology/solder-pastes</x:v>
      </x:c>
    </x:row>
    <x:row r="429">
      <x:c r="A429" t="str">
        <x:v>SMT焊接材料</x:v>
      </x:c>
      <x:c r="B429" t="str">
        <x:v>低空洞焊锡膏</x:v>
      </x:c>
      <x:c r="C429" t="str">
        <x:v>SAC305，T4，汽车电子高可靠</x:v>
      </x:c>
      <x:c r="D429" t="str">
        <x:v>g</x:v>
      </x:c>
      <x:c r="E429" s="102" t="n">
        <x:v>0.55</x:v>
      </x:c>
      <x:c r="F429" t="str">
        <x:v>N</x:v>
      </x:c>
      <x:c r="G429" t="n">
        <x:v>95</x:v>
      </x:c>
      <x:c r="H429" t="n">
        <x:v>0</x:v>
      </x:c>
      <x:c r="I429" t="str">
        <x:v>适用于QFN/BTC等低空洞需求；高可靠配方价格波动大，需RFQ；https://www.macdermidalpha.com/products/circuit-board-assembly/surface-mount-technology/solder-pastes/alpha-om-362-solder-paste</x:v>
      </x:c>
    </x:row>
    <x:row r="430">
      <x:c r="A430" t="str">
        <x:v>SMT焊接材料</x:v>
      </x:c>
      <x:c r="B430" t="str">
        <x:v>低温焊锡膏</x:v>
      </x:c>
      <x:c r="C430" t="str">
        <x:v>Sn42Bi58，T4，免清洗</x:v>
      </x:c>
      <x:c r="D430" t="str">
        <x:v>g</x:v>
      </x:c>
      <x:c r="E430" s="102" t="n">
        <x:v>0.24</x:v>
      </x:c>
      <x:c r="F430" t="str">
        <x:v>N</x:v>
      </x:c>
      <x:c r="G430" t="n">
        <x:v>95</x:v>
      </x:c>
      <x:c r="H430" t="n">
        <x:v>0</x:v>
      </x:c>
      <x:c r="I430" t="str">
        <x:v>低温回流用批量估价基准；低温合金、粉末粒径和品牌影响大，需RFQ</x:v>
      </x:c>
    </x:row>
    <x:row r="431">
      <x:c r="A431" t="str">
        <x:v>SMT焊接材料</x:v>
      </x:c>
      <x:c r="B431" t="str">
        <x:v>有铅焊锡膏</x:v>
      </x:c>
      <x:c r="C431" t="str">
        <x:v>Sn63Pb37，T3，免清洗</x:v>
      </x:c>
      <x:c r="D431" t="str">
        <x:v>g</x:v>
      </x:c>
      <x:c r="E431" s="102" t="n">
        <x:v>0.18</x:v>
      </x:c>
      <x:c r="F431" t="str">
        <x:v>N</x:v>
      </x:c>
      <x:c r="G431" t="n">
        <x:v>95</x:v>
      </x:c>
      <x:c r="H431" t="n">
        <x:v>0</x:v>
      </x:c>
      <x:c r="I431" t="str">
        <x:v>仅用于法规及客户允许的存量/特殊项目；需确认RoHS要求并RFQ</x:v>
      </x:c>
    </x:row>
    <x:row r="432">
      <x:c r="A432" t="str">
        <x:v>SMT焊接材料</x:v>
      </x:c>
      <x:c r="B432" t="str">
        <x:v>无铅焊锡丝</x:v>
      </x:c>
      <x:c r="C432" t="str">
        <x:v>SAC305，0.8mm，免清洗芯</x:v>
      </x:c>
      <x:c r="D432" t="str">
        <x:v>g</x:v>
      </x:c>
      <x:c r="E432" s="102" t="n">
        <x:v>0.3</x:v>
      </x:c>
      <x:c r="F432" t="str">
        <x:v>N</x:v>
      </x:c>
      <x:c r="G432" t="n">
        <x:v>96</x:v>
      </x:c>
      <x:c r="H432" t="n">
        <x:v>0</x:v>
      </x:c>
      <x:c r="I432" t="str">
        <x:v>手工补焊/返修常用；线径、助焊剂芯含量及品牌影响大，需RFQ；https://www.macdermidalpha.com/products/circuit-board-assembly/surface-mount-technology/fast-wetting-halogen-free-alpha-telecore-hf-850-cored-wire-high-reliability-electronics-assembly</x:v>
      </x:c>
    </x:row>
    <x:row r="433">
      <x:c r="A433" t="str">
        <x:v>SMT焊接材料</x:v>
      </x:c>
      <x:c r="B433" t="str">
        <x:v>有铅焊锡丝</x:v>
      </x:c>
      <x:c r="C433" t="str">
        <x:v>Sn63Pb37，0.8mm，免清洗芯</x:v>
      </x:c>
      <x:c r="D433" t="str">
        <x:v>g</x:v>
      </x:c>
      <x:c r="E433" s="102" t="n">
        <x:v>0.16</x:v>
      </x:c>
      <x:c r="F433" t="str">
        <x:v>N</x:v>
      </x:c>
      <x:c r="G433" t="n">
        <x:v>96</x:v>
      </x:c>
      <x:c r="H433" t="n">
        <x:v>0</x:v>
      </x:c>
      <x:c r="I433" t="str">
        <x:v>仅用于法规及客户允许的存量/特殊项目；需确认RoHS要求并RFQ</x:v>
      </x:c>
    </x:row>
    <x:row r="434">
      <x:c r="A434" t="str">
        <x:v>SMT助焊剂</x:v>
      </x:c>
      <x:c r="B434" t="str">
        <x:v>免清洗液态助焊剂</x:v>
      </x:c>
      <x:c r="C434" t="str">
        <x:v>低固含、无卤，喷雾/波峰焊</x:v>
      </x:c>
      <x:c r="D434" t="str">
        <x:v>g</x:v>
      </x:c>
      <x:c r="E434" s="102" t="n">
        <x:v>0.06</x:v>
      </x:c>
      <x:c r="F434" t="str">
        <x:v>N</x:v>
      </x:c>
      <x:c r="G434" t="n">
        <x:v>92</x:v>
      </x:c>
      <x:c r="H434" t="n">
        <x:v>0</x:v>
      </x:c>
      <x:c r="I434" t="str">
        <x:v>2026-08国内批量估价基准；固含量、活性和卤素等级影响大，需RFQ；https://www.kester.com/products/category/liquid-solder-flux</x:v>
      </x:c>
    </x:row>
    <x:row r="435">
      <x:c r="A435" t="str">
        <x:v>SMT助焊剂</x:v>
      </x:c>
      <x:c r="B435" t="str">
        <x:v>水溶性液态助焊剂</x:v>
      </x:c>
      <x:c r="C435" t="str">
        <x:v>有机酸型，波峰焊/选择焊</x:v>
      </x:c>
      <x:c r="D435" t="str">
        <x:v>g</x:v>
      </x:c>
      <x:c r="E435" s="102" t="n">
        <x:v>0.08</x:v>
      </x:c>
      <x:c r="F435" t="str">
        <x:v>N</x:v>
      </x:c>
      <x:c r="G435" t="n">
        <x:v>92</x:v>
      </x:c>
      <x:c r="H435" t="n">
        <x:v>0</x:v>
      </x:c>
      <x:c r="I435" t="str">
        <x:v>焊后通常需要清洗；活性、离子残留和清洗要求影响成本，需RFQ；https://www.kester.com/products/category/water-soluble</x:v>
      </x:c>
    </x:row>
    <x:row r="436">
      <x:c r="A436" t="str">
        <x:v>SMT助焊剂</x:v>
      </x:c>
      <x:c r="B436" t="str">
        <x:v>返修膏状助焊剂</x:v>
      </x:c>
      <x:c r="C436" t="str">
        <x:v>无卤免清洗，BGA/QFN返修</x:v>
      </x:c>
      <x:c r="D436" t="str">
        <x:v>g</x:v>
      </x:c>
      <x:c r="E436" s="102" t="n">
        <x:v>0.18</x:v>
      </x:c>
      <x:c r="F436" t="str">
        <x:v>N</x:v>
      </x:c>
      <x:c r="G436" t="n">
        <x:v>90</x:v>
      </x:c>
      <x:c r="H436" t="n">
        <x:v>0</x:v>
      </x:c>
      <x:c r="I436" t="str">
        <x:v>点涂/返修常用；粘度、残留和可靠性等级影响大，需RFQ；https://www.kester.com/products/category/no-clean</x:v>
      </x:c>
    </x:row>
    <x:row r="437">
      <x:c r="A437" t="str">
        <x:v>SMT辅助材料</x:v>
      </x:c>
      <x:c r="B437" t="str">
        <x:v>SMT红胶</x:v>
      </x:c>
      <x:c r="C437" t="str">
        <x:v>环氧贴片胶，点胶/印刷型</x:v>
      </x:c>
      <x:c r="D437" t="str">
        <x:v>g</x:v>
      </x:c>
      <x:c r="E437" s="102" t="n">
        <x:v>0.12</x:v>
      </x:c>
      <x:c r="F437" t="str">
        <x:v>N</x:v>
      </x:c>
      <x:c r="G437" t="n">
        <x:v>90</x:v>
      </x:c>
      <x:c r="H437" t="n">
        <x:v>0</x:v>
      </x:c>
      <x:c r="I437" t="str">
        <x:v>双面回流或波峰焊前元件固定；固化曲线、粘度和品牌影响大，需RFQ</x:v>
      </x:c>
    </x:row>
    <x:row r="438">
      <x:c r="A438" t="str">
        <x:v>SMT辅助材料</x:v>
      </x:c>
      <x:c r="B438" t="str">
        <x:v>PCBA清洗剂</x:v>
      </x:c>
      <x:c r="C438" t="str">
        <x:v>低残留助焊剂清洗剂</x:v>
      </x:c>
      <x:c r="D438" t="str">
        <x:v>g</x:v>
      </x:c>
      <x:c r="E438" s="102" t="n">
        <x:v>0.035</x:v>
      </x:c>
      <x:c r="F438" t="str">
        <x:v>N</x:v>
      </x:c>
      <x:c r="G438" t="n">
        <x:v>88</x:v>
      </x:c>
      <x:c r="H438" t="n">
        <x:v>0</x:v>
      </x:c>
      <x:c r="I438" t="str">
        <x:v>用于水溶性/高残留助焊剂清洗；配方、环保和防爆要求影响大，需RFQ</x:v>
      </x:c>
    </x:row>
    <x:row r="439">
      <x:c r="A439" t="str">
        <x:v>SMT辅助材料</x:v>
      </x:c>
      <x:c r="B439" t="str">
        <x:v>无水异丙醇</x:v>
      </x:c>
      <x:c r="C439" t="str">
        <x:v>IPA≥99.9%，电子级</x:v>
      </x:c>
      <x:c r="D439" t="str">
        <x:v>g</x:v>
      </x:c>
      <x:c r="E439" s="102" t="n">
        <x:v>0.012</x:v>
      </x:c>
      <x:c r="F439" t="str">
        <x:v>N</x:v>
      </x:c>
      <x:c r="G439" t="n">
        <x:v>88</x:v>
      </x:c>
      <x:c r="H439" t="n">
        <x:v>0</x:v>
      </x:c>
      <x:c r="I439" t="str">
        <x:v>钢网及局部清洁估价基准；洁净等级、包装和采购量影响大，需RFQ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149999618530273"/>
  <x:cols>
    <x:col min="1" max="1" width="11" customWidth="1"/>
    <x:col min="2" max="2" width="25" customWidth="1"/>
    <x:col min="3" max="3" width="12" customWidth="1"/>
    <x:col min="4" max="4" width="13" customWidth="1"/>
    <x:col min="5" max="5" width="12" customWidth="1"/>
    <x:col min="6" max="6" width="11" customWidth="1"/>
    <x:col min="7" max="7" width="13" customWidth="1"/>
    <x:col min="8" max="8" width="17" customWidth="1"/>
    <x:col min="9" max="9" width="16" customWidth="1"/>
    <x:col min="10" max="10" width="15" customWidth="1"/>
    <x:col min="11" max="11" width="12" customWidth="1"/>
    <x:col min="12" max="12" width="15" customWidth="1"/>
    <x:col min="13" max="13" width="14" customWidth="1"/>
    <x:col min="14" max="14" width="13" customWidth="1"/>
    <x:col min="15" max="16" width="14" customWidth="1"/>
    <x:col min="17" max="18" width="13" customWidth="1"/>
    <x:col min="19" max="19" width="12" customWidth="1"/>
    <x:col min="20" max="22" width="14" customWidth="1"/>
    <x:col min="23" max="23" width="13" customWidth="1"/>
    <x:col min="24" max="24" width="14" customWidth="1"/>
    <x:col min="25" max="25" width="12" customWidth="1"/>
    <x:col min="26" max="26" width="13" customWidth="1"/>
    <x:col min="27" max="27" width="15" customWidth="1"/>
    <x:col min="28" max="28" width="13" customWidth="1"/>
    <x:col min="29" max="29" width="15" customWidth="1"/>
  </x:cols>
  <x:sheetData>
    <x:row r="1" ht="54" customHeight="1">
      <x:c r="A1" s="27" t="str">
        <x:v>工序编号</x:v>
      </x:c>
      <x:c r="B1" s="27" t="s">
        <x:v>29</x:v>
      </x:c>
      <x:c r="C1" s="27" t="s">
        <x:v>30</x:v>
      </x:c>
      <x:c r="D1" s="27" t="s">
        <x:v>31</x:v>
      </x:c>
      <x:c r="E1" s="27" t="s">
        <x:v>32</x:v>
      </x:c>
      <x:c r="F1" s="27" t="s">
        <x:v>33</x:v>
      </x:c>
      <x:c r="G1" s="27" t="s">
        <x:v>34</x:v>
      </x:c>
      <x:c r="H1" s="27" t="s">
        <x:v>35</x:v>
      </x:c>
      <x:c r="I1" s="27" t="s">
        <x:v>36</x:v>
      </x:c>
      <x:c r="J1" s="27" t="s">
        <x:v>37</x:v>
      </x:c>
      <x:c r="K1" s="27" t="s">
        <x:v>38</x:v>
      </x:c>
      <x:c r="L1" s="27" t="s">
        <x:v>39</x:v>
      </x:c>
      <x:c r="M1" s="27" t="s">
        <x:v>40</x:v>
      </x:c>
      <x:c r="N1" s="27" t="s">
        <x:v>41</x:v>
      </x:c>
      <x:c r="O1" s="27" t="s">
        <x:v>42</x:v>
      </x:c>
      <x:c r="P1" s="27" t="s">
        <x:v>43</x:v>
      </x:c>
      <x:c r="Q1" s="27" t="s">
        <x:v>44</x:v>
      </x:c>
      <x:c r="R1" s="27" t="s">
        <x:v>45</x:v>
      </x:c>
      <x:c r="S1" s="27" t="s">
        <x:v>46</x:v>
      </x:c>
      <x:c r="T1" s="27" t="s">
        <x:v>47</x:v>
      </x:c>
      <x:c r="U1" s="27" t="s">
        <x:v>48</x:v>
      </x:c>
      <x:c r="V1" s="27" t="s">
        <x:v>49</x:v>
      </x:c>
      <x:c r="W1" s="27" t="s">
        <x:v>50</x:v>
      </x:c>
      <x:c r="X1" s="27" t="s">
        <x:v>51</x:v>
      </x:c>
      <x:c r="Y1" s="27" t="s">
        <x:v>52</x:v>
      </x:c>
      <x:c r="Z1" s="27" t="s">
        <x:v>53</x:v>
      </x:c>
      <x:c r="AA1" s="27" t="s">
        <x:v>54</x:v>
      </x:c>
      <x:c r="AB1" s="27" t="s">
        <x:v>55</x:v>
      </x:c>
      <x:c r="AC1" s="27" t="s">
        <x:v>56</x:v>
      </x:c>
    </x:row>
    <x:row r="2">
      <x:c r="A2" s="43" t="str">
        <x:v>线束工序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  <x:c r="AA2" s="43"/>
      <x:c r="AB2" s="43"/>
      <x:c r="AC2" s="43"/>
    </x:row>
    <x:row r="3" ht="15">
      <x:c r="A3" s="21" t="str">
        <x:v>OP10</x:v>
      </x:c>
      <x:c r="B3" s="32" t="s">
        <x:v>58</x:v>
      </x:c>
      <x:c r="C3" s="33">
        <x:v>30</x:v>
      </x:c>
      <x:c r="D3" s="33" t="n">
        <x:f t="shared" ref="D3" si="0">60*60/C3</x:f>
        <x:v>120</x:v>
      </x:c>
      <x:c r="E3" s="21">
        <x:v>7</x:v>
      </x:c>
      <x:c r="F3" s="21">
        <x:v>22</x:v>
      </x:c>
      <x:c r="G3" s="21">
        <x:v>300</x:v>
      </x:c>
      <x:c r="H3" s="35">
        <x:v>30000</x:v>
      </x:c>
      <x:c r="I3" s="37" t="n">
        <x:f t="shared" ref="I3" si="1">H3/E3/F3/G3/D3</x:f>
        <x:v>0.005411255411255411</x:v>
      </x:c>
      <x:c r="J3" s="37">
        <x:v>0.62777055000000004</x:v>
      </x:c>
      <x:c r="K3" s="37">
        <x:v>1</x:v>
      </x:c>
      <x:c r="L3" s="37" t="n">
        <x:f t="shared" ref="L3" si="2">J3*K3/D3</x:f>
        <x:v>0.005231421250000001</x:v>
      </x:c>
      <x:c r="M3" s="37">
        <x:v>3.7</x:v>
      </x:c>
      <x:c r="N3" s="37">
        <x:v>0</x:v>
      </x:c>
      <x:c r="O3" s="37" t="n">
        <x:f t="shared" ref="O3" si="3">N3*M3/D3</x:f>
        <x:v>0</x:v>
      </x:c>
      <x:c r="P3" s="37" t="n">
        <x:f t="shared" ref="P3" si="4">O3+L3</x:f>
        <x:v>0.005231421250000001</x:v>
      </x:c>
      <x:c r="Q3" s="37">
        <x:v>0</x:v>
      </x:c>
      <x:c r="R3" s="37">
        <x:v>0</x:v>
      </x:c>
      <x:c r="S3" s="37">
        <x:v>0</x:v>
      </x:c>
      <x:c r="T3" s="37">
        <x:v>0</x:v>
      </x:c>
      <x:c r="U3" s="37">
        <x:v>0</x:v>
      </x:c>
      <x:c r="V3" s="37" t="n">
        <x:f t="shared" ref="V3" si="5">(Q3+R3+S3+T3+U3)/D3</x:f>
        <x:v>0</x:v>
      </x:c>
      <x:c r="W3" s="33">
        <x:v>1</x:v>
      </x:c>
      <x:c r="X3" s="35">
        <x:v>6000</x:v>
      </x:c>
      <x:c r="Y3" s="39">
        <x:v>11</x:v>
      </x:c>
      <x:c r="Z3" s="39">
        <x:v>25</x:v>
      </x:c>
      <x:c r="AA3" s="37" t="n">
        <x:f t="shared" ref="AA3" si="6">(W3*X3)/Y3/Z3/D3</x:f>
        <x:v>0.18181818181818182</x:v>
      </x:c>
      <x:c r="AB3" s="31">
        <x:v>0.998</x:v>
      </x:c>
      <x:c r="AC3" s="42" t="n">
        <x:f t="shared" ref="AC3" si="7">(I3+P3+V3+AA3)/AB3</x:f>
        <x:v>0.19284655158260244</x:v>
      </x:c>
    </x:row>
    <x:row r="4">
      <x:c r="A4" s="22" t="str">
        <x:v>OP20</x:v>
      </x:c>
      <x:c r="B4" s="22" t="s">
        <x:v>398</x:v>
      </x:c>
      <x:c r="C4" s="34">
        <x:v>2.5</x:v>
      </x:c>
      <x:c r="D4" s="34" t="n">
        <x:f>IFERROR(60*60/C4,0)</x:f>
        <x:v>1440</x:v>
      </x:c>
      <x:c r="E4" s="22">
        <x:v>7</x:v>
      </x:c>
      <x:c r="F4" s="22">
        <x:v>22</x:v>
      </x:c>
      <x:c r="G4" s="22">
        <x:v>300</x:v>
      </x:c>
      <x:c r="H4" s="36">
        <x:v>180000</x:v>
      </x:c>
      <x:c r="I4" s="38" t="n">
        <x:f>IFERROR(H4/E4/F4/G4/D4,0)</x:f>
        <x:v>0.002705627705627705</x:v>
      </x:c>
      <x:c r="J4" s="38">
        <x:v>0.62777055000000004</x:v>
      </x:c>
      <x:c r="K4" s="38">
        <x:v>4</x:v>
      </x:c>
      <x:c r="L4" s="38" t="n">
        <x:f>IFERROR(J4*K4/D4,0)</x:f>
        <x:v>0.0017438070833333335</x:v>
      </x:c>
      <x:c r="M4" s="38">
        <x:v>3.7</x:v>
      </x:c>
      <x:c r="N4" s="38">
        <x:v>0</x:v>
      </x:c>
      <x:c r="O4" s="38" t="n">
        <x:f>IFERROR(N4*M4/D4,0)</x:f>
        <x:v>0</x:v>
      </x:c>
      <x:c r="P4" s="38" t="n">
        <x:f>O4+L4</x:f>
        <x:v>0.0017438070833333335</x:v>
      </x:c>
      <x:c r="Q4" s="38">
        <x:v>0</x:v>
      </x:c>
      <x:c r="R4" s="38">
        <x:v>0</x:v>
      </x:c>
      <x:c r="S4" s="38">
        <x:v>0</x:v>
      </x:c>
      <x:c r="T4" s="38">
        <x:v>1</x:v>
      </x:c>
      <x:c r="U4" s="38">
        <x:v>0.5</x:v>
      </x:c>
      <x:c r="V4" s="38" t="n">
        <x:f>IFERROR((Q4+R4+S4+T4+U4)/D4,0)</x:f>
        <x:v>0.0010416666666666667</x:v>
      </x:c>
      <x:c r="W4" s="34">
        <x:v>1</x:v>
      </x:c>
      <x:c r="X4" s="36">
        <x:v>6000</x:v>
      </x:c>
      <x:c r="Y4" s="40">
        <x:v>11</x:v>
      </x:c>
      <x:c r="Z4" s="40">
        <x:v>25</x:v>
      </x:c>
      <x:c r="AA4" s="38" t="n">
        <x:f>IFERROR((W4*X4)/Y4/Z4/D4,0)</x:f>
        <x:v>0.015151515151515154</x:v>
      </x:c>
      <x:c r="AB4" s="41">
        <x:v>0.995</x:v>
      </x:c>
      <x:c r="AC4" s="38" t="n">
        <x:f>IFERROR((I4+P4+V4+AA4)/AB4,0)</x:f>
        <x:v>0.020746348348887295</x:v>
      </x:c>
    </x:row>
    <x:row r="5">
      <x:c r="A5" s="22" t="str">
        <x:v>OP30</x:v>
      </x:c>
      <x:c r="B5" s="22" t="s">
        <x:v>399</x:v>
      </x:c>
      <x:c r="C5" s="34">
        <x:v>3</x:v>
      </x:c>
      <x:c r="D5" s="34" t="n">
        <x:f>IFERROR(60*60/C5,0)</x:f>
        <x:v>1200</x:v>
      </x:c>
      <x:c r="E5" s="22">
        <x:v>7</x:v>
      </x:c>
      <x:c r="F5" s="22">
        <x:v>22</x:v>
      </x:c>
      <x:c r="G5" s="22">
        <x:v>300</x:v>
      </x:c>
      <x:c r="H5" s="36">
        <x:v>260000</x:v>
      </x:c>
      <x:c r="I5" s="38" t="n">
        <x:f>IFERROR(H5/E5/F5/G5/D5,0)</x:f>
        <x:v>0.00468975468975469</x:v>
      </x:c>
      <x:c r="J5" s="38">
        <x:v>0.62777055000000004</x:v>
      </x:c>
      <x:c r="K5" s="38">
        <x:v>5</x:v>
      </x:c>
      <x:c r="L5" s="38" t="n">
        <x:f>IFERROR(J5*K5/D5,0)</x:f>
        <x:v>0.0026157106250000004</x:v>
      </x:c>
      <x:c r="M5" s="38">
        <x:v>3.7</x:v>
      </x:c>
      <x:c r="N5" s="38">
        <x:v>0</x:v>
      </x:c>
      <x:c r="O5" s="38" t="n">
        <x:f>IFERROR(N5*M5/D5,0)</x:f>
        <x:v>0</x:v>
      </x:c>
      <x:c r="P5" s="38" t="n">
        <x:f>O5+L5</x:f>
        <x:v>0.0026157106250000004</x:v>
      </x:c>
      <x:c r="Q5" s="38">
        <x:v>0</x:v>
      </x:c>
      <x:c r="R5" s="38">
        <x:v>0</x:v>
      </x:c>
      <x:c r="S5" s="38">
        <x:v>0</x:v>
      </x:c>
      <x:c r="T5" s="38">
        <x:v>2</x:v>
      </x:c>
      <x:c r="U5" s="38">
        <x:v>0.8</x:v>
      </x:c>
      <x:c r="V5" s="38" t="n">
        <x:f>IFERROR((Q5+R5+S5+T5+U5)/D5,0)</x:f>
        <x:v>0.002333333333333333</x:v>
      </x:c>
      <x:c r="W5" s="34">
        <x:v>1</x:v>
      </x:c>
      <x:c r="X5" s="36">
        <x:v>6000</x:v>
      </x:c>
      <x:c r="Y5" s="40">
        <x:v>11</x:v>
      </x:c>
      <x:c r="Z5" s="40">
        <x:v>25</x:v>
      </x:c>
      <x:c r="AA5" s="38" t="n">
        <x:f>IFERROR((W5*X5)/Y5/Z5/D5,0)</x:f>
        <x:v>0.018181818181818184</x:v>
      </x:c>
      <x:c r="AB5" s="41">
        <x:v>0.995</x:v>
      </x:c>
      <x:c r="AC5" s="38" t="n">
        <x:f>IFERROR((I5+P5+V5+AA5)/AB5,0)</x:f>
        <x:v>0.02796041892452885</x:v>
      </x:c>
    </x:row>
    <x:row r="6">
      <x:c r="A6" s="43" t="str">
        <x:v>冲压工序</x:v>
      </x:c>
      <x:c r="B6" s="43"/>
      <x:c r="C6" s="44"/>
      <x:c r="D6" s="44"/>
      <x:c r="E6" s="43"/>
      <x:c r="F6" s="43"/>
      <x:c r="G6" s="43"/>
      <x:c r="H6" s="45"/>
      <x:c r="I6" s="46"/>
      <x:c r="J6" s="46"/>
      <x:c r="K6" s="46"/>
      <x:c r="L6" s="46"/>
      <x:c r="M6" s="46"/>
      <x:c r="N6" s="46"/>
      <x:c r="O6" s="46"/>
      <x:c r="P6" s="46"/>
      <x:c r="Q6" s="46"/>
      <x:c r="R6" s="46"/>
      <x:c r="S6" s="46"/>
      <x:c r="T6" s="46"/>
      <x:c r="U6" s="46"/>
      <x:c r="V6" s="46"/>
      <x:c r="W6" s="44"/>
      <x:c r="X6" s="45"/>
      <x:c r="Y6" s="47"/>
      <x:c r="Z6" s="47"/>
      <x:c r="AA6" s="46"/>
      <x:c r="AB6" s="48"/>
      <x:c r="AC6" s="46"/>
    </x:row>
    <x:row r="7">
      <x:c r="A7" s="22" t="str">
        <x:v>ST10</x:v>
      </x:c>
      <x:c r="B7" s="22" t="s">
        <x:v>400</x:v>
      </x:c>
      <x:c r="C7" s="34">
        <x:v>1</x:v>
      </x:c>
      <x:c r="D7" s="34" t="n">
        <x:f t="shared" ref="D7:D13" si="8">IFERROR(60*60/C7,0)</x:f>
        <x:v>3600</x:v>
      </x:c>
      <x:c r="E7" s="22">
        <x:v>10</x:v>
      </x:c>
      <x:c r="F7" s="22">
        <x:v>22</x:v>
      </x:c>
      <x:c r="G7" s="22">
        <x:v>300</x:v>
      </x:c>
      <x:c r="H7" s="36">
        <x:v>450000</x:v>
      </x:c>
      <x:c r="I7" s="38" t="n">
        <x:f t="shared" ref="I7:I13" si="9">IFERROR(H7/E7/F7/G7/D7,0)</x:f>
        <x:v>0.001893939393939394</x:v>
      </x:c>
      <x:c r="J7" s="38">
        <x:v>0.62777055000000004</x:v>
      </x:c>
      <x:c r="K7" s="38">
        <x:v>11</x:v>
      </x:c>
      <x:c r="L7" s="38" t="n">
        <x:f t="shared" ref="L7:L13" si="10">IFERROR(J7*K7/D7,0)</x:f>
        <x:v>0.001918187791666667</x:v>
      </x:c>
      <x:c r="M7" s="38">
        <x:v>3.7</x:v>
      </x:c>
      <x:c r="N7" s="38">
        <x:v>0</x:v>
      </x:c>
      <x:c r="O7" s="38" t="n">
        <x:f t="shared" ref="O7:O13" si="11">IFERROR(N7*M7/D7,0)</x:f>
        <x:v>0</x:v>
      </x:c>
      <x:c r="P7" s="38" t="n">
        <x:f t="shared" ref="P7:P13" si="12">O7+L7</x:f>
        <x:v>0.001918187791666667</x:v>
      </x:c>
      <x:c r="Q7" s="38">
        <x:v>1</x:v>
      </x:c>
      <x:c r="R7" s="38">
        <x:v>0</x:v>
      </x:c>
      <x:c r="S7" s="38">
        <x:v>0</x:v>
      </x:c>
      <x:c r="T7" s="38">
        <x:v>4</x:v>
      </x:c>
      <x:c r="U7" s="38">
        <x:v>1</x:v>
      </x:c>
      <x:c r="V7" s="38" t="n">
        <x:f t="shared" ref="V7:V13" si="13">IFERROR((Q7+R7+S7+T7+U7)/D7,0)</x:f>
        <x:v>0.0016666666666666668</x:v>
      </x:c>
      <x:c r="W7" s="34">
        <x:v>1</x:v>
      </x:c>
      <x:c r="X7" s="36">
        <x:v>6000</x:v>
      </x:c>
      <x:c r="Y7" s="40">
        <x:v>11</x:v>
      </x:c>
      <x:c r="Z7" s="40">
        <x:v>25</x:v>
      </x:c>
      <x:c r="AA7" s="38" t="n">
        <x:f t="shared" ref="AA7:AA13" si="14">IFERROR((W7*X7)/Y7/Z7/D7,0)</x:f>
        <x:v>0.0060606060606060615</x:v>
      </x:c>
      <x:c r="AB7" s="41">
        <x:v>0.99</x:v>
      </x:c>
      <x:c r="AC7" s="38" t="n">
        <x:f t="shared" ref="AC7:AC13" si="15">IFERROR((I7+P7+V7+AA7)/AB7,0)</x:f>
        <x:v>0.011655959507958372</x:v>
      </x:c>
    </x:row>
    <x:row r="8">
      <x:c r="A8" s="22" t="str">
        <x:v>ST20</x:v>
      </x:c>
      <x:c r="B8" s="22" t="s">
        <x:v>401</x:v>
      </x:c>
      <x:c r="C8" s="34">
        <x:v>1.5</x:v>
      </x:c>
      <x:c r="D8" s="34">
        <x:f t="shared" si="8"/>
        <x:v>2400</x:v>
      </x:c>
      <x:c r="E8" s="22">
        <x:v>10</x:v>
      </x:c>
      <x:c r="F8" s="22">
        <x:v>22</x:v>
      </x:c>
      <x:c r="G8" s="22">
        <x:v>300</x:v>
      </x:c>
      <x:c r="H8" s="36">
        <x:v>900000</x:v>
      </x:c>
      <x:c r="I8" s="38">
        <x:f t="shared" si="9"/>
        <x:v>5.681818181818182E-3</x:v>
      </x:c>
      <x:c r="J8" s="38">
        <x:v>0.62777055000000004</x:v>
      </x:c>
      <x:c r="K8" s="38">
        <x:v>22</x:v>
      </x:c>
      <x:c r="L8" s="38">
        <x:f t="shared" si="10"/>
        <x:v>5.7545633750000005E-3</x:v>
      </x:c>
      <x:c r="M8" s="38">
        <x:v>3.7</x:v>
      </x:c>
      <x:c r="N8" s="38">
        <x:v>0</x:v>
      </x:c>
      <x:c r="O8" s="38">
        <x:f t="shared" si="11"/>
        <x:v>0</x:v>
      </x:c>
      <x:c r="P8" s="38">
        <x:f t="shared" si="12"/>
        <x:v>5.7545633750000005E-3</x:v>
      </x:c>
      <x:c r="Q8" s="38">
        <x:v>1</x:v>
      </x:c>
      <x:c r="R8" s="38">
        <x:v>0</x:v>
      </x:c>
      <x:c r="S8" s="38">
        <x:v>0</x:v>
      </x:c>
      <x:c r="T8" s="38">
        <x:v>4</x:v>
      </x:c>
      <x:c r="U8" s="38">
        <x:v>1</x:v>
      </x:c>
      <x:c r="V8" s="38">
        <x:f t="shared" si="13"/>
        <x:v>2.5000000000000001E-3</x:v>
      </x:c>
      <x:c r="W8" s="34">
        <x:v>1</x:v>
      </x:c>
      <x:c r="X8" s="36">
        <x:v>6000</x:v>
      </x:c>
      <x:c r="Y8" s="40">
        <x:v>11</x:v>
      </x:c>
      <x:c r="Z8" s="40">
        <x:v>25</x:v>
      </x:c>
      <x:c r="AA8" s="38">
        <x:f t="shared" si="14"/>
        <x:v>9.0909090909090922E-3</x:v>
      </x:c>
      <x:c r="AB8" s="41">
        <x:v>0.99</x:v>
      </x:c>
      <x:c r="AC8" s="38">
        <x:f t="shared" si="15"/>
        <x:v>2.3259889543158864E-2</x:v>
      </x:c>
    </x:row>
    <x:row r="9">
      <x:c r="A9" s="22" t="str">
        <x:v>ST30</x:v>
      </x:c>
      <x:c r="B9" s="22" t="s">
        <x:v>402</x:v>
      </x:c>
      <x:c r="C9" s="34">
        <x:v>2.5</x:v>
      </x:c>
      <x:c r="D9" s="34">
        <x:f t="shared" si="8"/>
        <x:v>1440</x:v>
      </x:c>
      <x:c r="E9" s="22">
        <x:v>10</x:v>
      </x:c>
      <x:c r="F9" s="22">
        <x:v>22</x:v>
      </x:c>
      <x:c r="G9" s="22">
        <x:v>300</x:v>
      </x:c>
      <x:c r="H9" s="36">
        <x:v>2200000</x:v>
      </x:c>
      <x:c r="I9" s="38">
        <x:f t="shared" si="9"/>
        <x:v>2.314814814814815E-2</x:v>
      </x:c>
      <x:c r="J9" s="38">
        <x:v>0.62777055000000004</x:v>
      </x:c>
      <x:c r="K9" s="38">
        <x:v>45</x:v>
      </x:c>
      <x:c r="L9" s="38">
        <x:f t="shared" si="10"/>
        <x:v>1.9617829687500001E-2</x:v>
      </x:c>
      <x:c r="M9" s="38">
        <x:v>3.7</x:v>
      </x:c>
      <x:c r="N9" s="38">
        <x:v>0</x:v>
      </x:c>
      <x:c r="O9" s="38">
        <x:f t="shared" si="11"/>
        <x:v>0</x:v>
      </x:c>
      <x:c r="P9" s="38">
        <x:f t="shared" si="12"/>
        <x:v>1.9617829687500001E-2</x:v>
      </x:c>
      <x:c r="Q9" s="38">
        <x:v>1</x:v>
      </x:c>
      <x:c r="R9" s="38">
        <x:v>0</x:v>
      </x:c>
      <x:c r="S9" s="38">
        <x:v>0</x:v>
      </x:c>
      <x:c r="T9" s="38">
        <x:v>4</x:v>
      </x:c>
      <x:c r="U9" s="38">
        <x:v>1</x:v>
      </x:c>
      <x:c r="V9" s="38">
        <x:f t="shared" si="13"/>
        <x:v>4.1666666666666666E-3</x:v>
      </x:c>
      <x:c r="W9" s="34">
        <x:v>1</x:v>
      </x:c>
      <x:c r="X9" s="36">
        <x:v>6000</x:v>
      </x:c>
      <x:c r="Y9" s="40">
        <x:v>11</x:v>
      </x:c>
      <x:c r="Z9" s="40">
        <x:v>25</x:v>
      </x:c>
      <x:c r="AA9" s="38">
        <x:f t="shared" si="14"/>
        <x:v>1.5151515151515154E-2</x:v>
      </x:c>
      <x:c r="AB9" s="41">
        <x:v>0.98499999999999999</x:v>
      </x:c>
      <x:c r="AC9" s="38">
        <x:f t="shared" si="15"/>
        <x:v>6.3029603709472054E-2</x:v>
      </x:c>
    </x:row>
    <x:row r="10">
      <x:c r="A10" s="22" t="str">
        <x:v>ST40</x:v>
      </x:c>
      <x:c r="B10" s="22" t="s">
        <x:v>403</x:v>
      </x:c>
      <x:c r="C10" s="34">
        <x:v>0.5</x:v>
      </x:c>
      <x:c r="D10" s="34">
        <x:f t="shared" si="8"/>
        <x:v>7200</x:v>
      </x:c>
      <x:c r="E10" s="22">
        <x:v>10</x:v>
      </x:c>
      <x:c r="F10" s="22">
        <x:v>22</x:v>
      </x:c>
      <x:c r="G10" s="22">
        <x:v>300</x:v>
      </x:c>
      <x:c r="H10" s="36">
        <x:v>1800000</x:v>
      </x:c>
      <x:c r="I10" s="38">
        <x:f t="shared" si="9"/>
        <x:v>3.787878787878788E-3</x:v>
      </x:c>
      <x:c r="J10" s="38">
        <x:v>0.62777055000000004</x:v>
      </x:c>
      <x:c r="K10" s="38">
        <x:v>30</x:v>
      </x:c>
      <x:c r="L10" s="38">
        <x:f t="shared" si="10"/>
        <x:v>2.6157106250000004E-3</x:v>
      </x:c>
      <x:c r="M10" s="38">
        <x:v>3.7</x:v>
      </x:c>
      <x:c r="N10" s="38">
        <x:v>0</x:v>
      </x:c>
      <x:c r="O10" s="38">
        <x:f t="shared" si="11"/>
        <x:v>0</x:v>
      </x:c>
      <x:c r="P10" s="38">
        <x:f t="shared" si="12"/>
        <x:v>2.6157106250000004E-3</x:v>
      </x:c>
      <x:c r="Q10" s="38">
        <x:v>1</x:v>
      </x:c>
      <x:c r="R10" s="38">
        <x:v>0</x:v>
      </x:c>
      <x:c r="S10" s="38">
        <x:v>0</x:v>
      </x:c>
      <x:c r="T10" s="38">
        <x:v>4</x:v>
      </x:c>
      <x:c r="U10" s="38">
        <x:v>1</x:v>
      </x:c>
      <x:c r="V10" s="38">
        <x:f t="shared" si="13"/>
        <x:v>8.3333333333333339E-4</x:v>
      </x:c>
      <x:c r="W10" s="34">
        <x:v>1</x:v>
      </x:c>
      <x:c r="X10" s="36">
        <x:v>6000</x:v>
      </x:c>
      <x:c r="Y10" s="40">
        <x:v>11</x:v>
      </x:c>
      <x:c r="Z10" s="40">
        <x:v>25</x:v>
      </x:c>
      <x:c r="AA10" s="38">
        <x:f t="shared" si="14"/>
        <x:v>3.0303030303030307E-3</x:v>
      </x:c>
      <x:c r="AB10" s="41">
        <x:v>0.98499999999999999</x:v>
      </x:c>
      <x:c r="AC10" s="38">
        <x:f t="shared" si="15"/>
        <x:v>1.0423579468543302E-2</x:v>
      </x:c>
    </x:row>
    <x:row r="11">
      <x:c r="A11" s="22" t="str">
        <x:v>ST50</x:v>
      </x:c>
      <x:c r="B11" s="22" t="s">
        <x:v>404</x:v>
      </x:c>
      <x:c r="C11" s="34">
        <x:v>8</x:v>
      </x:c>
      <x:c r="D11" s="34">
        <x:f t="shared" si="8"/>
        <x:v>450</x:v>
      </x:c>
      <x:c r="E11" s="22">
        <x:v>10</x:v>
      </x:c>
      <x:c r="F11" s="22">
        <x:v>22</x:v>
      </x:c>
      <x:c r="G11" s="22">
        <x:v>300</x:v>
      </x:c>
      <x:c r="H11" s="36">
        <x:v>300000</x:v>
      </x:c>
      <x:c r="I11" s="38">
        <x:f t="shared" si="9"/>
        <x:v>1.0101010101010102E-2</x:v>
      </x:c>
      <x:c r="J11" s="38">
        <x:v>0.62777055000000004</x:v>
      </x:c>
      <x:c r="K11" s="38">
        <x:v>11</x:v>
      </x:c>
      <x:c r="L11" s="38">
        <x:f t="shared" si="10"/>
        <x:v>1.5345502333333335E-2</x:v>
      </x:c>
      <x:c r="M11" s="38">
        <x:v>3.7</x:v>
      </x:c>
      <x:c r="N11" s="38">
        <x:v>0</x:v>
      </x:c>
      <x:c r="O11" s="38">
        <x:f t="shared" si="11"/>
        <x:v>0</x:v>
      </x:c>
      <x:c r="P11" s="38">
        <x:f t="shared" si="12"/>
        <x:v>1.5345502333333335E-2</x:v>
      </x:c>
      <x:c r="Q11" s="38">
        <x:v>1</x:v>
      </x:c>
      <x:c r="R11" s="38">
        <x:v>0</x:v>
      </x:c>
      <x:c r="S11" s="38">
        <x:v>0</x:v>
      </x:c>
      <x:c r="T11" s="38">
        <x:v>4</x:v>
      </x:c>
      <x:c r="U11" s="38">
        <x:v>1</x:v>
      </x:c>
      <x:c r="V11" s="38">
        <x:f t="shared" si="13"/>
        <x:v>1.3333333333333334E-2</x:v>
      </x:c>
      <x:c r="W11" s="34">
        <x:v>1</x:v>
      </x:c>
      <x:c r="X11" s="36">
        <x:v>6000</x:v>
      </x:c>
      <x:c r="Y11" s="40">
        <x:v>11</x:v>
      </x:c>
      <x:c r="Z11" s="40">
        <x:v>25</x:v>
      </x:c>
      <x:c r="AA11" s="38">
        <x:f t="shared" si="14"/>
        <x:v>4.8484848484848492E-2</x:v>
      </x:c>
      <x:c r="AB11" s="41">
        <x:v>0.98499999999999999</x:v>
      </x:c>
      <x:c r="AC11" s="38">
        <x:f t="shared" si="15"/>
        <x:v>8.8593598225913964E-2</x:v>
      </x:c>
    </x:row>
    <x:row r="12">
      <x:c r="A12" s="22" t="str">
        <x:v>ST60</x:v>
      </x:c>
      <x:c r="B12" s="22" t="s">
        <x:v>405</x:v>
      </x:c>
      <x:c r="C12" s="34">
        <x:v>5</x:v>
      </x:c>
      <x:c r="D12" s="34">
        <x:f t="shared" si="8"/>
        <x:v>720</x:v>
      </x:c>
      <x:c r="E12" s="22">
        <x:v>10</x:v>
      </x:c>
      <x:c r="F12" s="22">
        <x:v>22</x:v>
      </x:c>
      <x:c r="G12" s="22">
        <x:v>300</x:v>
      </x:c>
      <x:c r="H12" s="36">
        <x:v>2800000</x:v>
      </x:c>
      <x:c r="I12" s="38">
        <x:f t="shared" si="9"/>
        <x:v>5.8922558922558932E-2</x:v>
      </x:c>
      <x:c r="J12" s="38">
        <x:v>0.62777055000000004</x:v>
      </x:c>
      <x:c r="K12" s="38">
        <x:v>55</x:v>
      </x:c>
      <x:c r="L12" s="38">
        <x:f t="shared" si="10"/>
        <x:v>4.7954694791666669E-2</x:v>
      </x:c>
      <x:c r="M12" s="38">
        <x:v>3.7</x:v>
      </x:c>
      <x:c r="N12" s="38">
        <x:v>0</x:v>
      </x:c>
      <x:c r="O12" s="38">
        <x:f t="shared" si="11"/>
        <x:v>0</x:v>
      </x:c>
      <x:c r="P12" s="38">
        <x:f t="shared" si="12"/>
        <x:v>4.7954694791666669E-2</x:v>
      </x:c>
      <x:c r="Q12" s="38">
        <x:v>1</x:v>
      </x:c>
      <x:c r="R12" s="38">
        <x:v>0</x:v>
      </x:c>
      <x:c r="S12" s="38">
        <x:v>0</x:v>
      </x:c>
      <x:c r="T12" s="38">
        <x:v>4</x:v>
      </x:c>
      <x:c r="U12" s="38">
        <x:v>1</x:v>
      </x:c>
      <x:c r="V12" s="38">
        <x:f t="shared" si="13"/>
        <x:v>8.3333333333333332E-3</x:v>
      </x:c>
      <x:c r="W12" s="34">
        <x:v>2</x:v>
      </x:c>
      <x:c r="X12" s="36">
        <x:v>6000</x:v>
      </x:c>
      <x:c r="Y12" s="40">
        <x:v>11</x:v>
      </x:c>
      <x:c r="Z12" s="40">
        <x:v>25</x:v>
      </x:c>
      <x:c r="AA12" s="38">
        <x:f t="shared" si="14"/>
        <x:v>6.0606060606060615E-2</x:v>
      </x:c>
      <x:c r="AB12" s="41">
        <x:v>0.98</x:v>
      </x:c>
      <x:c r="AC12" s="38">
        <x:f t="shared" si="15"/>
        <x:v>0.1794047425036934</x:v>
      </x:c>
    </x:row>
    <x:row r="13">
      <x:c r="A13" s="22" t="str">
        <x:v>ST70</x:v>
      </x:c>
      <x:c r="B13" s="22" t="s">
        <x:v>406</x:v>
      </x:c>
      <x:c r="C13" s="34">
        <x:v>18</x:v>
      </x:c>
      <x:c r="D13" s="34">
        <x:f t="shared" si="8"/>
        <x:v>200</x:v>
      </x:c>
      <x:c r="E13" s="22">
        <x:v>8</x:v>
      </x:c>
      <x:c r="F13" s="22">
        <x:v>22</x:v>
      </x:c>
      <x:c r="G13" s="22">
        <x:v>300</x:v>
      </x:c>
      <x:c r="H13" s="36">
        <x:v>2200000</x:v>
      </x:c>
      <x:c r="I13" s="38">
        <x:f t="shared" si="9"/>
        <x:v>0.20833333333333331</x:v>
      </x:c>
      <x:c r="J13" s="38">
        <x:v>0.62777055000000004</x:v>
      </x:c>
      <x:c r="K13" s="38">
        <x:v>35</x:v>
      </x:c>
      <x:c r="L13" s="38">
        <x:f t="shared" si="10"/>
        <x:v>0.10985984625</x:v>
      </x:c>
      <x:c r="M13" s="38">
        <x:v>3.7</x:v>
      </x:c>
      <x:c r="N13" s="38">
        <x:v>0</x:v>
      </x:c>
      <x:c r="O13" s="38">
        <x:f t="shared" si="11"/>
        <x:v>0</x:v>
      </x:c>
      <x:c r="P13" s="38">
        <x:f t="shared" si="12"/>
        <x:v>0.10985984625</x:v>
      </x:c>
      <x:c r="Q13" s="38">
        <x:v>1</x:v>
      </x:c>
      <x:c r="R13" s="38">
        <x:v>0</x:v>
      </x:c>
      <x:c r="S13" s="38">
        <x:v>0</x:v>
      </x:c>
      <x:c r="T13" s="38">
        <x:v>4</x:v>
      </x:c>
      <x:c r="U13" s="38">
        <x:v>1</x:v>
      </x:c>
      <x:c r="V13" s="38">
        <x:f t="shared" si="13"/>
        <x:v>0.03</x:v>
      </x:c>
      <x:c r="W13" s="34">
        <x:v>1</x:v>
      </x:c>
      <x:c r="X13" s="36">
        <x:v>6000</x:v>
      </x:c>
      <x:c r="Y13" s="40">
        <x:v>11</x:v>
      </x:c>
      <x:c r="Z13" s="40">
        <x:v>25</x:v>
      </x:c>
      <x:c r="AA13" s="38">
        <x:f t="shared" si="14"/>
        <x:v>0.1090909090909091</x:v>
      </x:c>
      <x:c r="AB13" s="41">
        <x:v>0.99</x:v>
      </x:c>
      <x:c r="AC13" s="38">
        <x:f t="shared" si="15"/>
        <x:v>0.46190311987297217</x:v>
      </x:c>
    </x:row>
    <x:row r="14">
      <x:c r="A14" s="22"/>
      <x:c r="B14" s="22"/>
      <x:c r="C14" s="34"/>
      <x:c r="D14" s="34"/>
      <x:c r="E14" s="22"/>
      <x:c r="F14" s="22"/>
      <x:c r="G14" s="22"/>
      <x:c r="H14" s="36"/>
      <x:c r="I14" s="38"/>
      <x:c r="J14" s="38"/>
      <x:c r="K14" s="38"/>
      <x:c r="L14" s="38"/>
      <x:c r="M14" s="38"/>
      <x:c r="N14" s="38"/>
      <x:c r="O14" s="38"/>
      <x:c r="P14" s="38"/>
      <x:c r="Q14" s="38"/>
      <x:c r="R14" s="38"/>
      <x:c r="S14" s="38"/>
      <x:c r="T14" s="38"/>
      <x:c r="U14" s="38"/>
      <x:c r="V14" s="38"/>
      <x:c r="W14" s="34"/>
      <x:c r="X14" s="36"/>
      <x:c r="Y14" s="40"/>
      <x:c r="Z14" s="40"/>
      <x:c r="AA14" s="38"/>
      <x:c r="AB14" s="41"/>
      <x:c r="AC14" s="38"/>
    </x:row>
    <x:row r="15">
      <x:c r="A15" s="22"/>
      <x:c r="B15" s="22"/>
      <x:c r="C15" s="34"/>
      <x:c r="D15" s="34"/>
      <x:c r="E15" s="22"/>
      <x:c r="F15" s="22"/>
      <x:c r="G15" s="22"/>
      <x:c r="H15" s="36"/>
      <x:c r="I15" s="38"/>
      <x:c r="J15" s="38"/>
      <x:c r="K15" s="38"/>
      <x:c r="L15" s="38"/>
      <x:c r="M15" s="38"/>
      <x:c r="N15" s="38"/>
      <x:c r="O15" s="38"/>
      <x:c r="P15" s="38"/>
      <x:c r="Q15" s="38"/>
      <x:c r="R15" s="38"/>
      <x:c r="S15" s="38"/>
      <x:c r="T15" s="38"/>
      <x:c r="U15" s="38"/>
      <x:c r="V15" s="38"/>
      <x:c r="W15" s="34"/>
      <x:c r="X15" s="36"/>
      <x:c r="Y15" s="40"/>
      <x:c r="Z15" s="40"/>
      <x:c r="AA15" s="38"/>
      <x:c r="AB15" s="41"/>
      <x:c r="AC15" s="38"/>
    </x:row>
    <x:row r="16">
      <x:c r="A16" s="22"/>
      <x:c r="B16" s="22"/>
      <x:c r="C16" s="34"/>
      <x:c r="D16" s="34"/>
      <x:c r="E16" s="22"/>
      <x:c r="F16" s="22"/>
      <x:c r="G16" s="22"/>
      <x:c r="H16" s="36"/>
      <x:c r="I16" s="38"/>
      <x:c r="J16" s="38"/>
      <x:c r="K16" s="38"/>
      <x:c r="L16" s="38"/>
      <x:c r="M16" s="38"/>
      <x:c r="N16" s="38"/>
      <x:c r="O16" s="38"/>
      <x:c r="P16" s="38"/>
      <x:c r="Q16" s="38"/>
      <x:c r="R16" s="38"/>
      <x:c r="S16" s="38"/>
      <x:c r="T16" s="38"/>
      <x:c r="U16" s="38"/>
      <x:c r="V16" s="38"/>
      <x:c r="W16" s="34"/>
      <x:c r="X16" s="36"/>
      <x:c r="Y16" s="40"/>
      <x:c r="Z16" s="40"/>
      <x:c r="AA16" s="38"/>
      <x:c r="AB16" s="41"/>
      <x:c r="AC16" s="38"/>
    </x:row>
    <x:row r="17">
      <x:c r="A17" s="22"/>
      <x:c r="B17" s="22"/>
      <x:c r="C17" s="34"/>
      <x:c r="D17" s="34"/>
      <x:c r="E17" s="22"/>
      <x:c r="F17" s="22"/>
      <x:c r="G17" s="22"/>
      <x:c r="H17" s="36"/>
      <x:c r="I17" s="38"/>
      <x:c r="J17" s="38"/>
      <x:c r="K17" s="38"/>
      <x:c r="L17" s="38"/>
      <x:c r="M17" s="38"/>
      <x:c r="N17" s="38"/>
      <x:c r="O17" s="38"/>
      <x:c r="P17" s="38"/>
      <x:c r="Q17" s="38"/>
      <x:c r="R17" s="38"/>
      <x:c r="S17" s="38"/>
      <x:c r="T17" s="38"/>
      <x:c r="U17" s="38"/>
      <x:c r="V17" s="38"/>
      <x:c r="W17" s="34"/>
      <x:c r="X17" s="36"/>
      <x:c r="Y17" s="40"/>
      <x:c r="Z17" s="40"/>
      <x:c r="AA17" s="38"/>
      <x:c r="AB17" s="41"/>
      <x:c r="AC17" s="38"/>
    </x:row>
    <x:row r="18">
      <x:c r="A18" s="22"/>
      <x:c r="B18" s="22"/>
      <x:c r="C18" s="34"/>
      <x:c r="D18" s="34"/>
      <x:c r="E18" s="22"/>
      <x:c r="F18" s="22"/>
      <x:c r="G18" s="22"/>
      <x:c r="H18" s="36"/>
      <x:c r="I18" s="38"/>
      <x:c r="J18" s="38"/>
      <x:c r="K18" s="38"/>
      <x:c r="L18" s="38"/>
      <x:c r="M18" s="38"/>
      <x:c r="N18" s="38"/>
      <x:c r="O18" s="38"/>
      <x:c r="P18" s="38"/>
      <x:c r="Q18" s="38"/>
      <x:c r="R18" s="38"/>
      <x:c r="S18" s="38"/>
      <x:c r="T18" s="38"/>
      <x:c r="U18" s="38"/>
      <x:c r="V18" s="38"/>
      <x:c r="W18" s="34"/>
      <x:c r="X18" s="36"/>
      <x:c r="Y18" s="40"/>
      <x:c r="Z18" s="40"/>
      <x:c r="AA18" s="38"/>
      <x:c r="AB18" s="41"/>
      <x:c r="AC18" s="38"/>
    </x:row>
    <x:row r="19">
      <x:c r="A19" s="22"/>
      <x:c r="B19" s="22"/>
      <x:c r="C19" s="34"/>
      <x:c r="D19" s="34"/>
      <x:c r="E19" s="22"/>
      <x:c r="F19" s="22"/>
      <x:c r="G19" s="22"/>
      <x:c r="H19" s="36"/>
      <x:c r="I19" s="38"/>
      <x:c r="J19" s="38"/>
      <x:c r="K19" s="38"/>
      <x:c r="L19" s="38"/>
      <x:c r="M19" s="38"/>
      <x:c r="N19" s="38"/>
      <x:c r="O19" s="38"/>
      <x:c r="P19" s="38"/>
      <x:c r="Q19" s="38"/>
      <x:c r="R19" s="38"/>
      <x:c r="S19" s="38"/>
      <x:c r="T19" s="38"/>
      <x:c r="U19" s="38"/>
      <x:c r="V19" s="38"/>
      <x:c r="W19" s="34"/>
      <x:c r="X19" s="36"/>
      <x:c r="Y19" s="40"/>
      <x:c r="Z19" s="40"/>
      <x:c r="AA19" s="38"/>
      <x:c r="AB19" s="41"/>
      <x:c r="AC19" s="38"/>
    </x:row>
    <x:row r="20">
      <x:c r="A20" s="22"/>
      <x:c r="B20" s="22"/>
      <x:c r="C20" s="34"/>
      <x:c r="D20" s="34"/>
      <x:c r="E20" s="22"/>
      <x:c r="F20" s="22"/>
      <x:c r="G20" s="22"/>
      <x:c r="H20" s="36"/>
      <x:c r="I20" s="38"/>
      <x:c r="J20" s="38"/>
      <x:c r="K20" s="38"/>
      <x:c r="L20" s="38"/>
      <x:c r="M20" s="38"/>
      <x:c r="N20" s="38"/>
      <x:c r="O20" s="38"/>
      <x:c r="P20" s="38"/>
      <x:c r="Q20" s="38"/>
      <x:c r="R20" s="38"/>
      <x:c r="S20" s="38"/>
      <x:c r="T20" s="38"/>
      <x:c r="U20" s="38"/>
      <x:c r="V20" s="38"/>
      <x:c r="W20" s="34"/>
      <x:c r="X20" s="36"/>
      <x:c r="Y20" s="40"/>
      <x:c r="Z20" s="40"/>
      <x:c r="AA20" s="38"/>
      <x:c r="AB20" s="41"/>
      <x:c r="AC20" s="38"/>
    </x:row>
    <x:row r="21">
      <x:c r="A21" s="22"/>
      <x:c r="B21" s="22"/>
      <x:c r="C21" s="34"/>
      <x:c r="D21" s="34"/>
      <x:c r="E21" s="22"/>
      <x:c r="F21" s="22"/>
      <x:c r="G21" s="22"/>
      <x:c r="H21" s="36"/>
      <x:c r="I21" s="38"/>
      <x:c r="J21" s="38"/>
      <x:c r="K21" s="38"/>
      <x:c r="L21" s="38"/>
      <x:c r="M21" s="38"/>
      <x:c r="N21" s="38"/>
      <x:c r="O21" s="38"/>
      <x:c r="P21" s="38"/>
      <x:c r="Q21" s="38"/>
      <x:c r="R21" s="38"/>
      <x:c r="S21" s="38"/>
      <x:c r="T21" s="38"/>
      <x:c r="U21" s="38"/>
      <x:c r="V21" s="38"/>
      <x:c r="W21" s="34"/>
      <x:c r="X21" s="36"/>
      <x:c r="Y21" s="40"/>
      <x:c r="Z21" s="40"/>
      <x:c r="AA21" s="38"/>
      <x:c r="AB21" s="41"/>
      <x:c r="AC21" s="38"/>
    </x:row>
    <x:row r="22">
      <x:c r="A22" s="22"/>
      <x:c r="B22" s="22"/>
      <x:c r="C22" s="34"/>
      <x:c r="D22" s="34"/>
      <x:c r="E22" s="22"/>
      <x:c r="F22" s="22"/>
      <x:c r="G22" s="22"/>
      <x:c r="H22" s="36"/>
      <x:c r="I22" s="38"/>
      <x:c r="J22" s="38"/>
      <x:c r="K22" s="38"/>
      <x:c r="L22" s="38"/>
      <x:c r="M22" s="38"/>
      <x:c r="N22" s="38"/>
      <x:c r="O22" s="38"/>
      <x:c r="P22" s="38"/>
      <x:c r="Q22" s="38"/>
      <x:c r="R22" s="38"/>
      <x:c r="S22" s="38"/>
      <x:c r="T22" s="38"/>
      <x:c r="U22" s="38"/>
      <x:c r="V22" s="38"/>
      <x:c r="W22" s="34"/>
      <x:c r="X22" s="36"/>
      <x:c r="Y22" s="40"/>
      <x:c r="Z22" s="40"/>
      <x:c r="AA22" s="38"/>
      <x:c r="AB22" s="41"/>
      <x:c r="AC22" s="38"/>
    </x:row>
    <x:row r="23">
      <x:c r="A23" s="43" t="str">
        <x:v>压铸工序</x:v>
      </x:c>
      <x:c r="B23" s="43"/>
      <x:c r="C23" s="44"/>
      <x:c r="D23" s="44"/>
      <x:c r="E23" s="43"/>
      <x:c r="F23" s="43"/>
      <x:c r="G23" s="43"/>
      <x:c r="H23" s="45"/>
      <x:c r="I23" s="46"/>
      <x:c r="J23" s="46"/>
      <x:c r="K23" s="46"/>
      <x:c r="L23" s="46"/>
      <x:c r="M23" s="46"/>
      <x:c r="N23" s="46"/>
      <x:c r="O23" s="46"/>
      <x:c r="P23" s="46"/>
      <x:c r="Q23" s="46"/>
      <x:c r="R23" s="46"/>
      <x:c r="S23" s="46"/>
      <x:c r="T23" s="46"/>
      <x:c r="U23" s="46"/>
      <x:c r="V23" s="46"/>
      <x:c r="W23" s="44"/>
      <x:c r="X23" s="45"/>
      <x:c r="Y23" s="47"/>
      <x:c r="Z23" s="47"/>
      <x:c r="AA23" s="46"/>
      <x:c r="AB23" s="48"/>
      <x:c r="AC23" s="46"/>
    </x:row>
    <x:row r="24">
      <x:c r="A24" s="22" t="str">
        <x:v>DC10</x:v>
      </x:c>
      <x:c r="B24" s="22" t="s">
        <x:v>407</x:v>
      </x:c>
      <x:c r="C24" s="34">
        <x:v>35</x:v>
      </x:c>
      <x:c r="D24" s="34" t="n">
        <x:f t="shared" ref="D24:D30" si="16">IFERROR(60*60/C24,0)</x:f>
        <x:v>102.85714285714286</x:v>
      </x:c>
      <x:c r="E24" s="22">
        <x:v>10</x:v>
      </x:c>
      <x:c r="F24" s="22">
        <x:v>22</x:v>
      </x:c>
      <x:c r="G24" s="22">
        <x:v>300</x:v>
      </x:c>
      <x:c r="H24" s="36">
        <x:v>1600000</x:v>
      </x:c>
      <x:c r="I24" s="38" t="n">
        <x:f t="shared" ref="I24:I30" si="17">IFERROR(H24/E24/F24/G24/D24,0)</x:f>
        <x:v>0.23569023569023567</x:v>
      </x:c>
      <x:c r="J24" s="38">
        <x:v>0.62777055000000004</x:v>
      </x:c>
      <x:c r="K24" s="38">
        <x:v>45</x:v>
      </x:c>
      <x:c r="L24" s="38" t="n">
        <x:f t="shared" ref="L24:L30" si="18">IFERROR(J24*K24/D24,0)</x:f>
        <x:v>0.274649615625</x:v>
      </x:c>
      <x:c r="M24" s="38">
        <x:v>3.7</x:v>
      </x:c>
      <x:c r="N24" s="38">
        <x:v>2</x:v>
      </x:c>
      <x:c r="O24" s="38" t="n">
        <x:f t="shared" ref="O24:O30" si="19">IFERROR(N24*M24/D24,0)</x:f>
        <x:v>0.07194444444444445</x:v>
      </x:c>
      <x:c r="P24" s="38" t="n">
        <x:f t="shared" ref="P24:P30" si="20">O24+L24</x:f>
        <x:v>0.3465940600694445</x:v>
      </x:c>
      <x:c r="Q24" s="38">
        <x:v>1.5</x:v>
      </x:c>
      <x:c r="R24" s="38">
        <x:v>0</x:v>
      </x:c>
      <x:c r="S24" s="38">
        <x:v>1</x:v>
      </x:c>
      <x:c r="T24" s="38">
        <x:v>3</x:v>
      </x:c>
      <x:c r="U24" s="38">
        <x:v>1</x:v>
      </x:c>
      <x:c r="V24" s="38" t="n">
        <x:f t="shared" ref="V24:V30" si="21">IFERROR((Q24+R24+S24+T24+U24)/D24,0)</x:f>
        <x:v>0.06319444444444444</x:v>
      </x:c>
      <x:c r="W24" s="34">
        <x:v>2</x:v>
      </x:c>
      <x:c r="X24" s="36">
        <x:v>6000</x:v>
      </x:c>
      <x:c r="Y24" s="40">
        <x:v>11</x:v>
      </x:c>
      <x:c r="Z24" s="40">
        <x:v>25</x:v>
      </x:c>
      <x:c r="AA24" s="38" t="n">
        <x:f t="shared" ref="AA24:AA30" si="22">IFERROR((W24*X24)/Y24/Z24/D24,0)</x:f>
        <x:v>0.42424242424242425</x:v>
      </x:c>
      <x:c r="AB24" s="41">
        <x:v>0.97</x:v>
      </x:c>
      <x:c r="AC24" s="38" t="n">
        <x:f t="shared" ref="AC24:AC30" si="23">IFERROR((I24+P24+V24+AA24)/AB24,0)</x:f>
        <x:v>1.1028053241716997</x:v>
      </x:c>
    </x:row>
    <x:row r="25">
      <x:c r="A25" s="22" t="str">
        <x:v>DC20</x:v>
      </x:c>
      <x:c r="B25" s="22" t="s">
        <x:v>408</x:v>
      </x:c>
      <x:c r="C25" s="34">
        <x:v>45</x:v>
      </x:c>
      <x:c r="D25" s="34">
        <x:f t="shared" si="16"/>
        <x:v>80</x:v>
      </x:c>
      <x:c r="E25" s="22">
        <x:v>10</x:v>
      </x:c>
      <x:c r="F25" s="22">
        <x:v>22</x:v>
      </x:c>
      <x:c r="G25" s="22">
        <x:v>300</x:v>
      </x:c>
      <x:c r="H25" s="36">
        <x:v>2600000</x:v>
      </x:c>
      <x:c r="I25" s="38">
        <x:f t="shared" si="17"/>
        <x:v>0.49242424242424238</x:v>
      </x:c>
      <x:c r="J25" s="38">
        <x:v>0.62777055000000004</x:v>
      </x:c>
      <x:c r="K25" s="38">
        <x:v>70</x:v>
      </x:c>
      <x:c r="L25" s="38">
        <x:f t="shared" si="18"/>
        <x:v>0.54929923125000002</x:v>
      </x:c>
      <x:c r="M25" s="38">
        <x:v>3.7</x:v>
      </x:c>
      <x:c r="N25" s="38">
        <x:v>2</x:v>
      </x:c>
      <x:c r="O25" s="38">
        <x:f t="shared" si="19"/>
        <x:v>9.2499999999999999E-2</x:v>
      </x:c>
      <x:c r="P25" s="38">
        <x:f t="shared" si="20"/>
        <x:v>0.64179923125000005</x:v>
      </x:c>
      <x:c r="Q25" s="38">
        <x:v>1.5</x:v>
      </x:c>
      <x:c r="R25" s="38">
        <x:v>0</x:v>
      </x:c>
      <x:c r="S25" s="38">
        <x:v>1</x:v>
      </x:c>
      <x:c r="T25" s="38">
        <x:v>3</x:v>
      </x:c>
      <x:c r="U25" s="38">
        <x:v>1</x:v>
      </x:c>
      <x:c r="V25" s="38">
        <x:f t="shared" si="21"/>
        <x:v>8.1250000000000003E-2</x:v>
      </x:c>
      <x:c r="W25" s="34">
        <x:v>2</x:v>
      </x:c>
      <x:c r="X25" s="36">
        <x:v>6000</x:v>
      </x:c>
      <x:c r="Y25" s="40">
        <x:v>11</x:v>
      </x:c>
      <x:c r="Z25" s="40">
        <x:v>25</x:v>
      </x:c>
      <x:c r="AA25" s="38">
        <x:f t="shared" si="22"/>
        <x:v>0.54545454545454553</x:v>
      </x:c>
      <x:c r="AB25" s="41">
        <x:v>0.97</x:v>
      </x:c>
      <x:c r="AC25" s="38">
        <x:f t="shared" si="23"/>
        <x:v>1.8153897104420498</x:v>
      </x:c>
    </x:row>
    <x:row r="26">
      <x:c r="A26" s="22" t="str">
        <x:v>DC30</x:v>
      </x:c>
      <x:c r="B26" s="22" t="s">
        <x:v>409</x:v>
      </x:c>
      <x:c r="C26" s="34">
        <x:v>60</x:v>
      </x:c>
      <x:c r="D26" s="34">
        <x:f t="shared" si="16"/>
        <x:v>60</x:v>
      </x:c>
      <x:c r="E26" s="22">
        <x:v>10</x:v>
      </x:c>
      <x:c r="F26" s="22">
        <x:v>22</x:v>
      </x:c>
      <x:c r="G26" s="22">
        <x:v>300</x:v>
      </x:c>
      <x:c r="H26" s="36">
        <x:v>4200000</x:v>
      </x:c>
      <x:c r="I26" s="38">
        <x:f t="shared" si="17"/>
        <x:v>1.0606060606060608</x:v>
      </x:c>
      <x:c r="J26" s="38">
        <x:v>0.62777055000000004</x:v>
      </x:c>
      <x:c r="K26" s="38">
        <x:v>110</x:v>
      </x:c>
      <x:c r="L26" s="38">
        <x:f t="shared" si="18"/>
        <x:v>1.1509126750000001</x:v>
      </x:c>
      <x:c r="M26" s="38">
        <x:v>3.7</x:v>
      </x:c>
      <x:c r="N26" s="38">
        <x:v>2</x:v>
      </x:c>
      <x:c r="O26" s="38">
        <x:f t="shared" si="19"/>
        <x:v>0.12333333333333334</x:v>
      </x:c>
      <x:c r="P26" s="38">
        <x:f t="shared" si="20"/>
        <x:v>1.2742460083333333</x:v>
      </x:c>
      <x:c r="Q26" s="38">
        <x:v>1.5</x:v>
      </x:c>
      <x:c r="R26" s="38">
        <x:v>0</x:v>
      </x:c>
      <x:c r="S26" s="38">
        <x:v>1</x:v>
      </x:c>
      <x:c r="T26" s="38">
        <x:v>3</x:v>
      </x:c>
      <x:c r="U26" s="38">
        <x:v>1</x:v>
      </x:c>
      <x:c r="V26" s="38">
        <x:f t="shared" si="21"/>
        <x:v>0.10833333333333334</x:v>
      </x:c>
      <x:c r="W26" s="34">
        <x:v>3</x:v>
      </x:c>
      <x:c r="X26" s="36">
        <x:v>6000</x:v>
      </x:c>
      <x:c r="Y26" s="40">
        <x:v>11</x:v>
      </x:c>
      <x:c r="Z26" s="40">
        <x:v>25</x:v>
      </x:c>
      <x:c r="AA26" s="38">
        <x:f t="shared" si="22"/>
        <x:v>1.0909090909090908</x:v>
      </x:c>
      <x:c r="AB26" s="41">
        <x:v>0.96499999999999997</x:v>
      </x:c>
      <x:c r="AC26" s="38">
        <x:f t="shared" si="23"/>
        <x:v>3.6622740861987757</x:v>
      </x:c>
    </x:row>
    <x:row r="27">
      <x:c r="A27" s="22" t="str">
        <x:v>DC40</x:v>
      </x:c>
      <x:c r="B27" s="22" t="s">
        <x:v>410</x:v>
      </x:c>
      <x:c r="C27" s="34">
        <x:v>90</x:v>
      </x:c>
      <x:c r="D27" s="34">
        <x:f t="shared" si="16"/>
        <x:v>40</x:v>
      </x:c>
      <x:c r="E27" s="22">
        <x:v>10</x:v>
      </x:c>
      <x:c r="F27" s="22">
        <x:v>22</x:v>
      </x:c>
      <x:c r="G27" s="22">
        <x:v>300</x:v>
      </x:c>
      <x:c r="H27" s="36">
        <x:v>9000000</x:v>
      </x:c>
      <x:c r="I27" s="38">
        <x:f t="shared" si="17"/>
        <x:v>3.4090909090909092</x:v>
      </x:c>
      <x:c r="J27" s="38">
        <x:v>0.62777055000000004</x:v>
      </x:c>
      <x:c r="K27" s="38">
        <x:v>180</x:v>
      </x:c>
      <x:c r="L27" s="38">
        <x:f t="shared" si="18"/>
        <x:v>2.8249674750000002</x:v>
      </x:c>
      <x:c r="M27" s="38">
        <x:v>3.7</x:v>
      </x:c>
      <x:c r="N27" s="38">
        <x:v>2</x:v>
      </x:c>
      <x:c r="O27" s="38">
        <x:f t="shared" si="19"/>
        <x:v>0.185</x:v>
      </x:c>
      <x:c r="P27" s="38">
        <x:f t="shared" si="20"/>
        <x:v>3.0099674750000003</x:v>
      </x:c>
      <x:c r="Q27" s="38">
        <x:v>1.5</x:v>
      </x:c>
      <x:c r="R27" s="38">
        <x:v>0</x:v>
      </x:c>
      <x:c r="S27" s="38">
        <x:v>1</x:v>
      </x:c>
      <x:c r="T27" s="38">
        <x:v>3</x:v>
      </x:c>
      <x:c r="U27" s="38">
        <x:v>1</x:v>
      </x:c>
      <x:c r="V27" s="38">
        <x:f t="shared" si="21"/>
        <x:v>0.16250000000000001</x:v>
      </x:c>
      <x:c r="W27" s="34">
        <x:v>3</x:v>
      </x:c>
      <x:c r="X27" s="36">
        <x:v>6000</x:v>
      </x:c>
      <x:c r="Y27" s="40">
        <x:v>11</x:v>
      </x:c>
      <x:c r="Z27" s="40">
        <x:v>25</x:v>
      </x:c>
      <x:c r="AA27" s="38">
        <x:f t="shared" si="22"/>
        <x:v>1.6363636363636362</x:v>
      </x:c>
      <x:c r="AB27" s="41">
        <x:v>0.96</x:v>
      </x:c>
      <x:c r="AC27" s="38">
        <x:f t="shared" si="23"/>
        <x:v>8.5603354379734853</x:v>
      </x:c>
    </x:row>
    <x:row r="28">
      <x:c r="A28" s="22" t="str">
        <x:v>DC50</x:v>
      </x:c>
      <x:c r="B28" s="22" t="s">
        <x:v>411</x:v>
      </x:c>
      <x:c r="C28" s="34">
        <x:v>120</x:v>
      </x:c>
      <x:c r="D28" s="34">
        <x:f t="shared" si="16"/>
        <x:v>30</x:v>
      </x:c>
      <x:c r="E28" s="22">
        <x:v>10</x:v>
      </x:c>
      <x:c r="F28" s="22">
        <x:v>22</x:v>
      </x:c>
      <x:c r="G28" s="22">
        <x:v>300</x:v>
      </x:c>
      <x:c r="H28" s="36">
        <x:v>22000000</x:v>
      </x:c>
      <x:c r="I28" s="38">
        <x:f t="shared" si="17"/>
        <x:v>11.111111111111111</x:v>
      </x:c>
      <x:c r="J28" s="38">
        <x:v>0.62777055000000004</x:v>
      </x:c>
      <x:c r="K28" s="38">
        <x:v>360</x:v>
      </x:c>
      <x:c r="L28" s="38">
        <x:f t="shared" si="18"/>
        <x:v>7.5332466</x:v>
      </x:c>
      <x:c r="M28" s="38">
        <x:v>3.7</x:v>
      </x:c>
      <x:c r="N28" s="38">
        <x:v>2</x:v>
      </x:c>
      <x:c r="O28" s="38">
        <x:f t="shared" si="19"/>
        <x:v>0.24666666666666667</x:v>
      </x:c>
      <x:c r="P28" s="38">
        <x:f t="shared" si="20"/>
        <x:v>7.779913266666667</x:v>
      </x:c>
      <x:c r="Q28" s="38">
        <x:v>1.5</x:v>
      </x:c>
      <x:c r="R28" s="38">
        <x:v>0</x:v>
      </x:c>
      <x:c r="S28" s="38">
        <x:v>1</x:v>
      </x:c>
      <x:c r="T28" s="38">
        <x:v>3</x:v>
      </x:c>
      <x:c r="U28" s="38">
        <x:v>1</x:v>
      </x:c>
      <x:c r="V28" s="38">
        <x:f t="shared" si="21"/>
        <x:v>0.21666666666666667</x:v>
      </x:c>
      <x:c r="W28" s="34">
        <x:v>4</x:v>
      </x:c>
      <x:c r="X28" s="36">
        <x:v>6000</x:v>
      </x:c>
      <x:c r="Y28" s="40">
        <x:v>11</x:v>
      </x:c>
      <x:c r="Z28" s="40">
        <x:v>25</x:v>
      </x:c>
      <x:c r="AA28" s="38">
        <x:f t="shared" si="22"/>
        <x:v>2.9090909090909092</x:v>
      </x:c>
      <x:c r="AB28" s="41">
        <x:v>0.95</x:v>
      </x:c>
      <x:c r="AC28" s="38">
        <x:f t="shared" si="23"/>
        <x:v>23.175559951089848</x:v>
      </x:c>
    </x:row>
    <x:row r="29">
      <x:c r="A29" s="22" t="str">
        <x:v>DC60</x:v>
      </x:c>
      <x:c r="B29" s="22" t="s">
        <x:v>412</x:v>
      </x:c>
      <x:c r="C29" s="34">
        <x:v>18</x:v>
      </x:c>
      <x:c r="D29" s="34">
        <x:f t="shared" si="16"/>
        <x:v>200</x:v>
      </x:c>
      <x:c r="E29" s="22">
        <x:v>8</x:v>
      </x:c>
      <x:c r="F29" s="22">
        <x:v>22</x:v>
      </x:c>
      <x:c r="G29" s="22">
        <x:v>300</x:v>
      </x:c>
      <x:c r="H29" s="36">
        <x:v>450000</x:v>
      </x:c>
      <x:c r="I29" s="38">
        <x:f t="shared" si="17"/>
        <x:v>4.2613636363636367E-2</x:v>
      </x:c>
      <x:c r="J29" s="38">
        <x:v>0.62777055000000004</x:v>
      </x:c>
      <x:c r="K29" s="38">
        <x:v>15</x:v>
      </x:c>
      <x:c r="L29" s="38">
        <x:f t="shared" si="18"/>
        <x:v>4.7082791250000006E-2</x:v>
      </x:c>
      <x:c r="M29" s="38">
        <x:v>3.7</x:v>
      </x:c>
      <x:c r="N29" s="38">
        <x:v>2</x:v>
      </x:c>
      <x:c r="O29" s="38">
        <x:f t="shared" si="19"/>
        <x:v>3.7000000000000005E-2</x:v>
      </x:c>
      <x:c r="P29" s="38">
        <x:f t="shared" si="20"/>
        <x:v>8.4082791250000011E-2</x:v>
      </x:c>
      <x:c r="Q29" s="38">
        <x:v>1.5</x:v>
      </x:c>
      <x:c r="R29" s="38">
        <x:v>0</x:v>
      </x:c>
      <x:c r="S29" s="38">
        <x:v>1</x:v>
      </x:c>
      <x:c r="T29" s="38">
        <x:v>3</x:v>
      </x:c>
      <x:c r="U29" s="38">
        <x:v>1</x:v>
      </x:c>
      <x:c r="V29" s="38">
        <x:f t="shared" si="21"/>
        <x:v>3.2500000000000001E-2</x:v>
      </x:c>
      <x:c r="W29" s="34">
        <x:v>1</x:v>
      </x:c>
      <x:c r="X29" s="36">
        <x:v>6000</x:v>
      </x:c>
      <x:c r="Y29" s="40">
        <x:v>11</x:v>
      </x:c>
      <x:c r="Z29" s="40">
        <x:v>25</x:v>
      </x:c>
      <x:c r="AA29" s="38">
        <x:f t="shared" si="22"/>
        <x:v>0.1090909090909091</x:v>
      </x:c>
      <x:c r="AB29" s="41">
        <x:v>0.99</x:v>
      </x:c>
      <x:c r="AC29" s="38">
        <x:f t="shared" si="23"/>
        <x:v>0.2709973098025712</x:v>
      </x:c>
    </x:row>
    <x:row r="30">
      <x:c r="A30" s="22" t="str">
        <x:v>DC70</x:v>
      </x:c>
      <x:c r="B30" s="22" t="s">
        <x:v>413</x:v>
      </x:c>
      <x:c r="C30" s="34">
        <x:v>12</x:v>
      </x:c>
      <x:c r="D30" s="34">
        <x:f t="shared" si="16"/>
        <x:v>300</x:v>
      </x:c>
      <x:c r="E30" s="22">
        <x:v>8</x:v>
      </x:c>
      <x:c r="F30" s="22">
        <x:v>22</x:v>
      </x:c>
      <x:c r="G30" s="22">
        <x:v>300</x:v>
      </x:c>
      <x:c r="H30" s="36">
        <x:v>650000</x:v>
      </x:c>
      <x:c r="I30" s="38">
        <x:f t="shared" si="17"/>
        <x:v>4.1035353535353536E-2</x:v>
      </x:c>
      <x:c r="J30" s="38">
        <x:v>0.62777055000000004</x:v>
      </x:c>
      <x:c r="K30" s="38">
        <x:v>18</x:v>
      </x:c>
      <x:c r="L30" s="38">
        <x:f t="shared" si="18"/>
        <x:v>3.7666233E-2</x:v>
      </x:c>
      <x:c r="M30" s="38">
        <x:v>3.7</x:v>
      </x:c>
      <x:c r="N30" s="38">
        <x:v>2</x:v>
      </x:c>
      <x:c r="O30" s="38">
        <x:f t="shared" si="19"/>
        <x:v>2.4666666666666667E-2</x:v>
      </x:c>
      <x:c r="P30" s="38">
        <x:f t="shared" si="20"/>
        <x:v>6.2332899666666663E-2</x:v>
      </x:c>
      <x:c r="Q30" s="38">
        <x:v>1.5</x:v>
      </x:c>
      <x:c r="R30" s="38">
        <x:v>0</x:v>
      </x:c>
      <x:c r="S30" s="38">
        <x:v>1</x:v>
      </x:c>
      <x:c r="T30" s="38">
        <x:v>3</x:v>
      </x:c>
      <x:c r="U30" s="38">
        <x:v>1</x:v>
      </x:c>
      <x:c r="V30" s="38">
        <x:f t="shared" si="21"/>
        <x:v>2.1666666666666667E-2</x:v>
      </x:c>
      <x:c r="W30" s="34">
        <x:v>1</x:v>
      </x:c>
      <x:c r="X30" s="36">
        <x:v>6000</x:v>
      </x:c>
      <x:c r="Y30" s="40">
        <x:v>11</x:v>
      </x:c>
      <x:c r="Z30" s="40">
        <x:v>25</x:v>
      </x:c>
      <x:c r="AA30" s="38">
        <x:f t="shared" si="22"/>
        <x:v>7.2727272727272738E-2</x:v>
      </x:c>
      <x:c r="AB30" s="41">
        <x:v>0.99</x:v>
      </x:c>
      <x:c r="AC30" s="38">
        <x:f t="shared" si="23"/>
        <x:v>0.19975979050096931</x:v>
      </x:c>
    </x:row>
    <x:row r="31">
      <x:c r="A31" s="22"/>
      <x:c r="B31" s="22"/>
      <x:c r="C31" s="34"/>
      <x:c r="D31" s="34"/>
      <x:c r="E31" s="22"/>
      <x:c r="F31" s="22"/>
      <x:c r="G31" s="22"/>
      <x:c r="H31" s="36"/>
      <x:c r="I31" s="38"/>
      <x:c r="J31" s="38"/>
      <x:c r="K31" s="38"/>
      <x:c r="L31" s="38"/>
      <x:c r="M31" s="38"/>
      <x:c r="N31" s="38"/>
      <x:c r="O31" s="38"/>
      <x:c r="P31" s="38"/>
      <x:c r="Q31" s="38"/>
      <x:c r="R31" s="38"/>
      <x:c r="S31" s="38"/>
      <x:c r="T31" s="38"/>
      <x:c r="U31" s="38"/>
      <x:c r="V31" s="38"/>
      <x:c r="W31" s="34"/>
      <x:c r="X31" s="36"/>
      <x:c r="Y31" s="40"/>
      <x:c r="Z31" s="40"/>
      <x:c r="AA31" s="38"/>
      <x:c r="AB31" s="41"/>
      <x:c r="AC31" s="38"/>
    </x:row>
    <x:row r="32">
      <x:c r="A32" s="22"/>
      <x:c r="B32" s="22"/>
      <x:c r="C32" s="34"/>
      <x:c r="D32" s="34"/>
      <x:c r="E32" s="22"/>
      <x:c r="F32" s="22"/>
      <x:c r="G32" s="22"/>
      <x:c r="H32" s="36"/>
      <x:c r="I32" s="38"/>
      <x:c r="J32" s="38"/>
      <x:c r="K32" s="38"/>
      <x:c r="L32" s="38"/>
      <x:c r="M32" s="38"/>
      <x:c r="N32" s="38"/>
      <x:c r="O32" s="38"/>
      <x:c r="P32" s="38"/>
      <x:c r="Q32" s="38"/>
      <x:c r="R32" s="38"/>
      <x:c r="S32" s="38"/>
      <x:c r="T32" s="38"/>
      <x:c r="U32" s="38"/>
      <x:c r="V32" s="38"/>
      <x:c r="W32" s="34"/>
      <x:c r="X32" s="36"/>
      <x:c r="Y32" s="40"/>
      <x:c r="Z32" s="40"/>
      <x:c r="AA32" s="38"/>
      <x:c r="AB32" s="41"/>
      <x:c r="AC32" s="38"/>
    </x:row>
    <x:row r="33">
      <x:c r="A33" s="22"/>
      <x:c r="B33" s="22"/>
      <x:c r="C33" s="34"/>
      <x:c r="D33" s="34"/>
      <x:c r="E33" s="22"/>
      <x:c r="F33" s="22"/>
      <x:c r="G33" s="22"/>
      <x:c r="H33" s="36"/>
      <x:c r="I33" s="38"/>
      <x:c r="J33" s="38"/>
      <x:c r="K33" s="38"/>
      <x:c r="L33" s="38"/>
      <x:c r="M33" s="38"/>
      <x:c r="N33" s="38"/>
      <x:c r="O33" s="38"/>
      <x:c r="P33" s="38"/>
      <x:c r="Q33" s="38"/>
      <x:c r="R33" s="38"/>
      <x:c r="S33" s="38"/>
      <x:c r="T33" s="38"/>
      <x:c r="U33" s="38"/>
      <x:c r="V33" s="38"/>
      <x:c r="W33" s="34"/>
      <x:c r="X33" s="36"/>
      <x:c r="Y33" s="40"/>
      <x:c r="Z33" s="40"/>
      <x:c r="AA33" s="38"/>
      <x:c r="AB33" s="41"/>
      <x:c r="AC33" s="38"/>
    </x:row>
    <x:row r="34">
      <x:c r="A34" s="22"/>
      <x:c r="B34" s="22"/>
      <x:c r="C34" s="34"/>
      <x:c r="D34" s="34"/>
      <x:c r="E34" s="22"/>
      <x:c r="F34" s="22"/>
      <x:c r="G34" s="22"/>
      <x:c r="H34" s="36"/>
      <x:c r="I34" s="38"/>
      <x:c r="J34" s="38"/>
      <x:c r="K34" s="38"/>
      <x:c r="L34" s="38"/>
      <x:c r="M34" s="38"/>
      <x:c r="N34" s="38"/>
      <x:c r="O34" s="38"/>
      <x:c r="P34" s="38"/>
      <x:c r="Q34" s="38"/>
      <x:c r="R34" s="38"/>
      <x:c r="S34" s="38"/>
      <x:c r="T34" s="38"/>
      <x:c r="U34" s="38"/>
      <x:c r="V34" s="38"/>
      <x:c r="W34" s="34"/>
      <x:c r="X34" s="36"/>
      <x:c r="Y34" s="40"/>
      <x:c r="Z34" s="40"/>
      <x:c r="AA34" s="38"/>
      <x:c r="AB34" s="41"/>
      <x:c r="AC34" s="38"/>
    </x:row>
    <x:row r="35">
      <x:c r="A35" s="22"/>
      <x:c r="B35" s="22"/>
      <x:c r="C35" s="34"/>
      <x:c r="D35" s="34"/>
      <x:c r="E35" s="22"/>
      <x:c r="F35" s="22"/>
      <x:c r="G35" s="22"/>
      <x:c r="H35" s="36"/>
      <x:c r="I35" s="38"/>
      <x:c r="J35" s="38"/>
      <x:c r="K35" s="38"/>
      <x:c r="L35" s="38"/>
      <x:c r="M35" s="38"/>
      <x:c r="N35" s="38"/>
      <x:c r="O35" s="38"/>
      <x:c r="P35" s="38"/>
      <x:c r="Q35" s="38"/>
      <x:c r="R35" s="38"/>
      <x:c r="S35" s="38"/>
      <x:c r="T35" s="38"/>
      <x:c r="U35" s="38"/>
      <x:c r="V35" s="38"/>
      <x:c r="W35" s="34"/>
      <x:c r="X35" s="36"/>
      <x:c r="Y35" s="40"/>
      <x:c r="Z35" s="40"/>
      <x:c r="AA35" s="38"/>
      <x:c r="AB35" s="41"/>
      <x:c r="AC35" s="38"/>
    </x:row>
    <x:row r="36">
      <x:c r="A36" s="22"/>
      <x:c r="B36" s="22"/>
      <x:c r="C36" s="34"/>
      <x:c r="D36" s="34"/>
      <x:c r="E36" s="22"/>
      <x:c r="F36" s="22"/>
      <x:c r="G36" s="22"/>
      <x:c r="H36" s="36"/>
      <x:c r="I36" s="38"/>
      <x:c r="J36" s="38"/>
      <x:c r="K36" s="38"/>
      <x:c r="L36" s="38"/>
      <x:c r="M36" s="38"/>
      <x:c r="N36" s="38"/>
      <x:c r="O36" s="38"/>
      <x:c r="P36" s="38"/>
      <x:c r="Q36" s="38"/>
      <x:c r="R36" s="38"/>
      <x:c r="S36" s="38"/>
      <x:c r="T36" s="38"/>
      <x:c r="U36" s="38"/>
      <x:c r="V36" s="38"/>
      <x:c r="W36" s="34"/>
      <x:c r="X36" s="36"/>
      <x:c r="Y36" s="40"/>
      <x:c r="Z36" s="40"/>
      <x:c r="AA36" s="38"/>
      <x:c r="AB36" s="41"/>
      <x:c r="AC36" s="38"/>
    </x:row>
    <x:row r="37">
      <x:c r="A37" s="22"/>
      <x:c r="B37" s="22"/>
      <x:c r="C37" s="34"/>
      <x:c r="D37" s="34"/>
      <x:c r="E37" s="22"/>
      <x:c r="F37" s="22"/>
      <x:c r="G37" s="22"/>
      <x:c r="H37" s="36"/>
      <x:c r="I37" s="38"/>
      <x:c r="J37" s="38"/>
      <x:c r="K37" s="38"/>
      <x:c r="L37" s="38"/>
      <x:c r="M37" s="38"/>
      <x:c r="N37" s="38"/>
      <x:c r="O37" s="38"/>
      <x:c r="P37" s="38"/>
      <x:c r="Q37" s="38"/>
      <x:c r="R37" s="38"/>
      <x:c r="S37" s="38"/>
      <x:c r="T37" s="38"/>
      <x:c r="U37" s="38"/>
      <x:c r="V37" s="38"/>
      <x:c r="W37" s="34"/>
      <x:c r="X37" s="36"/>
      <x:c r="Y37" s="40"/>
      <x:c r="Z37" s="40"/>
      <x:c r="AA37" s="38"/>
      <x:c r="AB37" s="41"/>
      <x:c r="AC37" s="38"/>
    </x:row>
    <x:row r="38">
      <x:c r="A38" s="22"/>
      <x:c r="B38" s="22"/>
      <x:c r="C38" s="34"/>
      <x:c r="D38" s="34"/>
      <x:c r="E38" s="22"/>
      <x:c r="F38" s="22"/>
      <x:c r="G38" s="22"/>
      <x:c r="H38" s="36"/>
      <x:c r="I38" s="38"/>
      <x:c r="J38" s="38"/>
      <x:c r="K38" s="38"/>
      <x:c r="L38" s="38"/>
      <x:c r="M38" s="38"/>
      <x:c r="N38" s="38"/>
      <x:c r="O38" s="38"/>
      <x:c r="P38" s="38"/>
      <x:c r="Q38" s="38"/>
      <x:c r="R38" s="38"/>
      <x:c r="S38" s="38"/>
      <x:c r="T38" s="38"/>
      <x:c r="U38" s="38"/>
      <x:c r="V38" s="38"/>
      <x:c r="W38" s="34"/>
      <x:c r="X38" s="36"/>
      <x:c r="Y38" s="40"/>
      <x:c r="Z38" s="40"/>
      <x:c r="AA38" s="38"/>
      <x:c r="AB38" s="41"/>
      <x:c r="AC38" s="38"/>
    </x:row>
    <x:row r="39">
      <x:c r="A39" s="22"/>
      <x:c r="B39" s="22"/>
      <x:c r="C39" s="34"/>
      <x:c r="D39" s="34"/>
      <x:c r="E39" s="22"/>
      <x:c r="F39" s="22"/>
      <x:c r="G39" s="22"/>
      <x:c r="H39" s="36"/>
      <x:c r="I39" s="38"/>
      <x:c r="J39" s="38"/>
      <x:c r="K39" s="38"/>
      <x:c r="L39" s="38"/>
      <x:c r="M39" s="38"/>
      <x:c r="N39" s="38"/>
      <x:c r="O39" s="38"/>
      <x:c r="P39" s="38"/>
      <x:c r="Q39" s="38"/>
      <x:c r="R39" s="38"/>
      <x:c r="S39" s="38"/>
      <x:c r="T39" s="38"/>
      <x:c r="U39" s="38"/>
      <x:c r="V39" s="38"/>
      <x:c r="W39" s="34"/>
      <x:c r="X39" s="36"/>
      <x:c r="Y39" s="40"/>
      <x:c r="Z39" s="40"/>
      <x:c r="AA39" s="38"/>
      <x:c r="AB39" s="41"/>
      <x:c r="AC39" s="38"/>
    </x:row>
    <x:row r="40">
      <x:c r="A40" s="22"/>
      <x:c r="B40" s="22"/>
      <x:c r="C40" s="34"/>
      <x:c r="D40" s="34"/>
      <x:c r="E40" s="22"/>
      <x:c r="F40" s="22"/>
      <x:c r="G40" s="22"/>
      <x:c r="H40" s="36"/>
      <x:c r="I40" s="38"/>
      <x:c r="J40" s="38"/>
      <x:c r="K40" s="38"/>
      <x:c r="L40" s="38"/>
      <x:c r="M40" s="38"/>
      <x:c r="N40" s="38"/>
      <x:c r="O40" s="38"/>
      <x:c r="P40" s="38"/>
      <x:c r="Q40" s="38"/>
      <x:c r="R40" s="38"/>
      <x:c r="S40" s="38"/>
      <x:c r="T40" s="38"/>
      <x:c r="U40" s="38"/>
      <x:c r="V40" s="38"/>
      <x:c r="W40" s="34"/>
      <x:c r="X40" s="36"/>
      <x:c r="Y40" s="40"/>
      <x:c r="Z40" s="40"/>
      <x:c r="AA40" s="38"/>
      <x:c r="AB40" s="41"/>
      <x:c r="AC40" s="38"/>
    </x:row>
    <x:row r="41">
      <x:c r="A41" s="22"/>
      <x:c r="B41" s="22"/>
      <x:c r="C41" s="34"/>
      <x:c r="D41" s="34"/>
      <x:c r="E41" s="22"/>
      <x:c r="F41" s="22"/>
      <x:c r="G41" s="22"/>
      <x:c r="H41" s="36"/>
      <x:c r="I41" s="38"/>
      <x:c r="J41" s="38"/>
      <x:c r="K41" s="38"/>
      <x:c r="L41" s="38"/>
      <x:c r="M41" s="38"/>
      <x:c r="N41" s="38"/>
      <x:c r="O41" s="38"/>
      <x:c r="P41" s="38"/>
      <x:c r="Q41" s="38"/>
      <x:c r="R41" s="38"/>
      <x:c r="S41" s="38"/>
      <x:c r="T41" s="38"/>
      <x:c r="U41" s="38"/>
      <x:c r="V41" s="38"/>
      <x:c r="W41" s="34"/>
      <x:c r="X41" s="36"/>
      <x:c r="Y41" s="40"/>
      <x:c r="Z41" s="40"/>
      <x:c r="AA41" s="38"/>
      <x:c r="AB41" s="41"/>
      <x:c r="AC41" s="38"/>
    </x:row>
    <x:row r="42">
      <x:c r="A42" s="22"/>
      <x:c r="B42" s="22"/>
      <x:c r="C42" s="34"/>
      <x:c r="D42" s="34"/>
      <x:c r="E42" s="22"/>
      <x:c r="F42" s="22"/>
      <x:c r="G42" s="22"/>
      <x:c r="H42" s="36"/>
      <x:c r="I42" s="38"/>
      <x:c r="J42" s="38"/>
      <x:c r="K42" s="38"/>
      <x:c r="L42" s="38"/>
      <x:c r="M42" s="38"/>
      <x:c r="N42" s="38"/>
      <x:c r="O42" s="38"/>
      <x:c r="P42" s="38"/>
      <x:c r="Q42" s="38"/>
      <x:c r="R42" s="38"/>
      <x:c r="S42" s="38"/>
      <x:c r="T42" s="38"/>
      <x:c r="U42" s="38"/>
      <x:c r="V42" s="38"/>
      <x:c r="W42" s="34"/>
      <x:c r="X42" s="36"/>
      <x:c r="Y42" s="40"/>
      <x:c r="Z42" s="40"/>
      <x:c r="AA42" s="38"/>
      <x:c r="AB42" s="41"/>
      <x:c r="AC42" s="38"/>
    </x:row>
    <x:row r="43">
      <x:c r="A43" s="43" t="str">
        <x:v>蚀刻印刷工序</x:v>
      </x:c>
      <x:c r="B43" s="43"/>
      <x:c r="C43" s="44"/>
      <x:c r="D43" s="44"/>
      <x:c r="E43" s="43"/>
      <x:c r="F43" s="43"/>
      <x:c r="G43" s="43"/>
      <x:c r="H43" s="45"/>
      <x:c r="I43" s="46"/>
      <x:c r="J43" s="46"/>
      <x:c r="K43" s="46"/>
      <x:c r="L43" s="46"/>
      <x:c r="M43" s="46"/>
      <x:c r="N43" s="46"/>
      <x:c r="O43" s="46"/>
      <x:c r="P43" s="46"/>
      <x:c r="Q43" s="46"/>
      <x:c r="R43" s="46"/>
      <x:c r="S43" s="46"/>
      <x:c r="T43" s="46"/>
      <x:c r="U43" s="46"/>
      <x:c r="V43" s="46"/>
      <x:c r="W43" s="44"/>
      <x:c r="X43" s="45"/>
      <x:c r="Y43" s="47"/>
      <x:c r="Z43" s="47"/>
      <x:c r="AA43" s="46"/>
      <x:c r="AB43" s="48"/>
      <x:c r="AC43" s="46"/>
    </x:row>
    <x:row r="44">
      <x:c r="A44" s="22" t="str">
        <x:v>PR10</x:v>
      </x:c>
      <x:c r="B44" s="22" t="s">
        <x:v>414</x:v>
      </x:c>
      <x:c r="C44" s="34">
        <x:v>25</x:v>
      </x:c>
      <x:c r="D44" s="34" t="n">
        <x:f t="shared" ref="D44:D49" si="24">IFERROR(60*60/C44,0)</x:f>
        <x:v>144</x:v>
      </x:c>
      <x:c r="E44" s="22">
        <x:v>8</x:v>
      </x:c>
      <x:c r="F44" s="22">
        <x:v>22</x:v>
      </x:c>
      <x:c r="G44" s="22">
        <x:v>300</x:v>
      </x:c>
      <x:c r="H44" s="36">
        <x:v>1200000</x:v>
      </x:c>
      <x:c r="I44" s="38" t="n">
        <x:f t="shared" ref="I44:I49" si="25">IFERROR(H44/E44/F44/G44/D44,0)</x:f>
        <x:v>0.15782828282828282</x:v>
      </x:c>
      <x:c r="J44" s="38">
        <x:v>0.62777055000000004</x:v>
      </x:c>
      <x:c r="K44" s="38">
        <x:v>25</x:v>
      </x:c>
      <x:c r="L44" s="38" t="n">
        <x:f t="shared" ref="L44:L49" si="26">IFERROR(J44*K44/D44,0)</x:f>
        <x:v>0.10898794270833334</x:v>
      </x:c>
      <x:c r="M44" s="38">
        <x:v>3.7</x:v>
      </x:c>
      <x:c r="N44" s="38">
        <x:v>0</x:v>
      </x:c>
      <x:c r="O44" s="38" t="n">
        <x:f t="shared" ref="O44:O49" si="27">IFERROR(N44*M44/D44,0)</x:f>
        <x:v>0</x:v>
      </x:c>
      <x:c r="P44" s="38" t="n">
        <x:f t="shared" ref="P44:P49" si="28">O44+L44</x:f>
        <x:v>0.10898794270833334</x:v>
      </x:c>
      <x:c r="Q44" s="38">
        <x:v>0</x:v>
      </x:c>
      <x:c r="R44" s="38">
        <x:v>0</x:v>
      </x:c>
      <x:c r="S44" s="38">
        <x:v>0.5</x:v>
      </x:c>
      <x:c r="T44" s="38">
        <x:v>0</x:v>
      </x:c>
      <x:c r="U44" s="38">
        <x:v>2</x:v>
      </x:c>
      <x:c r="V44" s="38" t="n">
        <x:f t="shared" ref="V44:V49" si="29">IFERROR((Q44+R44+S44+T44+U44)/D44,0)</x:f>
        <x:v>0.017361111111111112</x:v>
      </x:c>
      <x:c r="W44" s="34">
        <x:v>2</x:v>
      </x:c>
      <x:c r="X44" s="36">
        <x:v>6000</x:v>
      </x:c>
      <x:c r="Y44" s="40">
        <x:v>11</x:v>
      </x:c>
      <x:c r="Z44" s="40">
        <x:v>25</x:v>
      </x:c>
      <x:c r="AA44" s="38" t="n">
        <x:f t="shared" ref="AA44:AA49" si="30">IFERROR((W44*X44)/Y44/Z44/D44,0)</x:f>
        <x:v>0.30303030303030304</x:v>
      </x:c>
      <x:c r="AB44" s="41">
        <x:v>0.96</x:v>
      </x:c>
      <x:c r="AC44" s="38" t="n">
        <x:f t="shared" ref="AC44:AC49" si="31">IFERROR((I44+P44+V44+AA44)/AB44,0)</x:f>
        <x:v>0.611674624664615</x:v>
      </x:c>
    </x:row>
    <x:row r="45">
      <x:c r="A45" s="22" t="str">
        <x:v>PR20</x:v>
      </x:c>
      <x:c r="B45" s="22" t="s">
        <x:v>415</x:v>
      </x:c>
      <x:c r="C45" s="34">
        <x:v>12</x:v>
      </x:c>
      <x:c r="D45" s="34">
        <x:f t="shared" si="24"/>
        <x:v>300</x:v>
      </x:c>
      <x:c r="E45" s="22">
        <x:v>7</x:v>
      </x:c>
      <x:c r="F45" s="22">
        <x:v>22</x:v>
      </x:c>
      <x:c r="G45" s="22">
        <x:v>300</x:v>
      </x:c>
      <x:c r="H45" s="36">
        <x:v>180000</x:v>
      </x:c>
      <x:c r="I45" s="38">
        <x:f t="shared" si="25"/>
        <x:v>1.2987012987012986E-2</x:v>
      </x:c>
      <x:c r="J45" s="38">
        <x:v>0.62777055000000004</x:v>
      </x:c>
      <x:c r="K45" s="38">
        <x:v>3</x:v>
      </x:c>
      <x:c r="L45" s="38">
        <x:f t="shared" si="26"/>
        <x:v>6.2777055000000003E-3</x:v>
      </x:c>
      <x:c r="M45" s="38">
        <x:v>3.7</x:v>
      </x:c>
      <x:c r="N45" s="38">
        <x:v>0</x:v>
      </x:c>
      <x:c r="O45" s="38">
        <x:f t="shared" si="27"/>
        <x:v>0</x:v>
      </x:c>
      <x:c r="P45" s="38">
        <x:f t="shared" si="28"/>
        <x:v>6.2777055000000003E-3</x:v>
      </x:c>
      <x:c r="Q45" s="38">
        <x:v>0</x:v>
      </x:c>
      <x:c r="R45" s="38">
        <x:v>0</x:v>
      </x:c>
      <x:c r="S45" s="38">
        <x:v>0.5</x:v>
      </x:c>
      <x:c r="T45" s="38">
        <x:v>0</x:v>
      </x:c>
      <x:c r="U45" s="38">
        <x:v>2</x:v>
      </x:c>
      <x:c r="V45" s="38">
        <x:f t="shared" si="29"/>
        <x:v>8.3333333333333332E-3</x:v>
      </x:c>
      <x:c r="W45" s="34">
        <x:v>1</x:v>
      </x:c>
      <x:c r="X45" s="36">
        <x:v>6000</x:v>
      </x:c>
      <x:c r="Y45" s="40">
        <x:v>11</x:v>
      </x:c>
      <x:c r="Z45" s="40">
        <x:v>25</x:v>
      </x:c>
      <x:c r="AA45" s="38">
        <x:f t="shared" si="30"/>
        <x:v>7.2727272727272738E-2</x:v>
      </x:c>
      <x:c r="AB45" s="41">
        <x:v>0.98</x:v>
      </x:c>
      <x:c r="AC45" s="38">
        <x:f t="shared" si="31"/>
        <x:v>0.10237278015063168</x:v>
      </x:c>
    </x:row>
    <x:row r="46">
      <x:c r="A46" s="22" t="str">
        <x:v>PR30</x:v>
      </x:c>
      <x:c r="B46" s="22" t="s">
        <x:v>416</x:v>
      </x:c>
      <x:c r="C46" s="34">
        <x:v>6</x:v>
      </x:c>
      <x:c r="D46" s="34">
        <x:f t="shared" si="24"/>
        <x:v>600</x:v>
      </x:c>
      <x:c r="E46" s="22">
        <x:v>7</x:v>
      </x:c>
      <x:c r="F46" s="22">
        <x:v>22</x:v>
      </x:c>
      <x:c r="G46" s="22">
        <x:v>300</x:v>
      </x:c>
      <x:c r="H46" s="36">
        <x:v>120000</x:v>
      </x:c>
      <x:c r="I46" s="38">
        <x:f t="shared" si="25"/>
        <x:v>4.329004329004329E-3</x:v>
      </x:c>
      <x:c r="J46" s="38">
        <x:v>0.62777055000000004</x:v>
      </x:c>
      <x:c r="K46" s="38">
        <x:v>2</x:v>
      </x:c>
      <x:c r="L46" s="38">
        <x:f t="shared" si="26"/>
        <x:v>2.0925685000000001E-3</x:v>
      </x:c>
      <x:c r="M46" s="38">
        <x:v>3.7</x:v>
      </x:c>
      <x:c r="N46" s="38">
        <x:v>0</x:v>
      </x:c>
      <x:c r="O46" s="38">
        <x:f t="shared" si="27"/>
        <x:v>0</x:v>
      </x:c>
      <x:c r="P46" s="38">
        <x:f t="shared" si="28"/>
        <x:v>2.0925685000000001E-3</x:v>
      </x:c>
      <x:c r="Q46" s="38">
        <x:v>0</x:v>
      </x:c>
      <x:c r="R46" s="38">
        <x:v>0</x:v>
      </x:c>
      <x:c r="S46" s="38">
        <x:v>0.5</x:v>
      </x:c>
      <x:c r="T46" s="38">
        <x:v>0</x:v>
      </x:c>
      <x:c r="U46" s="38">
        <x:v>2</x:v>
      </x:c>
      <x:c r="V46" s="38">
        <x:f t="shared" si="29"/>
        <x:v>4.1666666666666666E-3</x:v>
      </x:c>
      <x:c r="W46" s="34">
        <x:v>1</x:v>
      </x:c>
      <x:c r="X46" s="36">
        <x:v>6000</x:v>
      </x:c>
      <x:c r="Y46" s="40">
        <x:v>11</x:v>
      </x:c>
      <x:c r="Z46" s="40">
        <x:v>25</x:v>
      </x:c>
      <x:c r="AA46" s="38">
        <x:f t="shared" si="30"/>
        <x:v>3.6363636363636369E-2</x:v>
      </x:c>
      <x:c r="AB46" s="41">
        <x:v>0.98499999999999999</x:v>
      </x:c>
      <x:c r="AC46" s="38">
        <x:f t="shared" si="31"/>
        <x:v>4.7666879044982097E-2</x:v>
      </x:c>
    </x:row>
    <x:row r="47">
      <x:c r="A47" s="22" t="str">
        <x:v>PR40</x:v>
      </x:c>
      <x:c r="B47" s="22" t="s">
        <x:v>417</x:v>
      </x:c>
      <x:c r="C47" s="34">
        <x:v>4</x:v>
      </x:c>
      <x:c r="D47" s="34">
        <x:f t="shared" si="24"/>
        <x:v>900</x:v>
      </x:c>
      <x:c r="E47" s="22">
        <x:v>7</x:v>
      </x:c>
      <x:c r="F47" s="22">
        <x:v>22</x:v>
      </x:c>
      <x:c r="G47" s="22">
        <x:v>300</x:v>
      </x:c>
      <x:c r="H47" s="36">
        <x:v>180000</x:v>
      </x:c>
      <x:c r="I47" s="38">
        <x:f t="shared" si="25"/>
        <x:v>4.3290043290043281E-3</x:v>
      </x:c>
      <x:c r="J47" s="38">
        <x:v>0.62777055000000004</x:v>
      </x:c>
      <x:c r="K47" s="38">
        <x:v>2</x:v>
      </x:c>
      <x:c r="L47" s="38">
        <x:f t="shared" si="26"/>
        <x:v>1.3950456666666667E-3</x:v>
      </x:c>
      <x:c r="M47" s="38">
        <x:v>3.7</x:v>
      </x:c>
      <x:c r="N47" s="38">
        <x:v>0</x:v>
      </x:c>
      <x:c r="O47" s="38">
        <x:f t="shared" si="27"/>
        <x:v>0</x:v>
      </x:c>
      <x:c r="P47" s="38">
        <x:f t="shared" si="28"/>
        <x:v>1.3950456666666667E-3</x:v>
      </x:c>
      <x:c r="Q47" s="38">
        <x:v>0</x:v>
      </x:c>
      <x:c r="R47" s="38">
        <x:v>0</x:v>
      </x:c>
      <x:c r="S47" s="38">
        <x:v>0.5</x:v>
      </x:c>
      <x:c r="T47" s="38">
        <x:v>0</x:v>
      </x:c>
      <x:c r="U47" s="38">
        <x:v>2</x:v>
      </x:c>
      <x:c r="V47" s="38">
        <x:f t="shared" si="29"/>
        <x:v>2.7777777777777779E-3</x:v>
      </x:c>
      <x:c r="W47" s="34">
        <x:v>1</x:v>
      </x:c>
      <x:c r="X47" s="36">
        <x:v>6000</x:v>
      </x:c>
      <x:c r="Y47" s="40">
        <x:v>11</x:v>
      </x:c>
      <x:c r="Z47" s="40">
        <x:v>25</x:v>
      </x:c>
      <x:c r="AA47" s="38">
        <x:f t="shared" si="30"/>
        <x:v>2.4242424242424246E-2</x:v>
      </x:c>
      <x:c r="AB47" s="41">
        <x:v>0.995</x:v>
      </x:c>
      <x:c r="AC47" s="38">
        <x:f t="shared" si="31"/>
        <x:v>3.290879599585228E-2</x:v>
      </x:c>
    </x:row>
    <x:row r="48">
      <x:c r="A48" s="22" t="str">
        <x:v>PR50</x:v>
      </x:c>
      <x:c r="B48" s="22" t="s">
        <x:v>418</x:v>
      </x:c>
      <x:c r="C48" s="34">
        <x:v>2</x:v>
      </x:c>
      <x:c r="D48" s="34">
        <x:f t="shared" si="24"/>
        <x:v>1800</x:v>
      </x:c>
      <x:c r="E48" s="22">
        <x:v>7</x:v>
      </x:c>
      <x:c r="F48" s="22">
        <x:v>22</x:v>
      </x:c>
      <x:c r="G48" s="22">
        <x:v>300</x:v>
      </x:c>
      <x:c r="H48" s="36">
        <x:v>90000</x:v>
      </x:c>
      <x:c r="I48" s="38">
        <x:f t="shared" si="25"/>
        <x:v>1.082251082251082E-3</x:v>
      </x:c>
      <x:c r="J48" s="38">
        <x:v>0.62777055000000004</x:v>
      </x:c>
      <x:c r="K48" s="38">
        <x:v>1</x:v>
      </x:c>
      <x:c r="L48" s="38">
        <x:f t="shared" si="26"/>
        <x:v>3.4876141666666667E-4</x:v>
      </x:c>
      <x:c r="M48" s="38">
        <x:v>3.7</x:v>
      </x:c>
      <x:c r="N48" s="38">
        <x:v>0</x:v>
      </x:c>
      <x:c r="O48" s="38">
        <x:f t="shared" si="27"/>
        <x:v>0</x:v>
      </x:c>
      <x:c r="P48" s="38">
        <x:f t="shared" si="28"/>
        <x:v>3.4876141666666667E-4</x:v>
      </x:c>
      <x:c r="Q48" s="38">
        <x:v>0</x:v>
      </x:c>
      <x:c r="R48" s="38">
        <x:v>0</x:v>
      </x:c>
      <x:c r="S48" s="38">
        <x:v>0.5</x:v>
      </x:c>
      <x:c r="T48" s="38">
        <x:v>0</x:v>
      </x:c>
      <x:c r="U48" s="38">
        <x:v>2</x:v>
      </x:c>
      <x:c r="V48" s="38">
        <x:f t="shared" si="29"/>
        <x:v>1.3888888888888889E-3</x:v>
      </x:c>
      <x:c r="W48" s="34">
        <x:v>1</x:v>
      </x:c>
      <x:c r="X48" s="36">
        <x:v>6000</x:v>
      </x:c>
      <x:c r="Y48" s="40">
        <x:v>11</x:v>
      </x:c>
      <x:c r="Z48" s="40">
        <x:v>25</x:v>
      </x:c>
      <x:c r="AA48" s="38">
        <x:f t="shared" si="30"/>
        <x:v>1.2121212121212123E-2</x:v>
      </x:c>
      <x:c r="AB48" s="41">
        <x:v>0.995</x:v>
      </x:c>
      <x:c r="AC48" s="38">
        <x:f t="shared" si="31"/>
        <x:v>1.5016194481425889E-2</x:v>
      </x:c>
    </x:row>
    <x:row r="49">
      <x:c r="A49" s="22" t="str">
        <x:v>PR60</x:v>
      </x:c>
      <x:c r="B49" s="22" t="s">
        <x:v>419</x:v>
      </x:c>
      <x:c r="C49" s="34">
        <x:v>10</x:v>
      </x:c>
      <x:c r="D49" s="34">
        <x:f t="shared" si="24"/>
        <x:v>360</x:v>
      </x:c>
      <x:c r="E49" s="22">
        <x:v>7</x:v>
      </x:c>
      <x:c r="F49" s="22">
        <x:v>22</x:v>
      </x:c>
      <x:c r="G49" s="22">
        <x:v>300</x:v>
      </x:c>
      <x:c r="H49" s="36">
        <x:v>280000</x:v>
      </x:c>
      <x:c r="I49" s="38">
        <x:f t="shared" si="25"/>
        <x:v>1.6835016835016835E-2</x:v>
      </x:c>
      <x:c r="J49" s="38">
        <x:v>0.62777055000000004</x:v>
      </x:c>
      <x:c r="K49" s="38">
        <x:v>4</x:v>
      </x:c>
      <x:c r="L49" s="38">
        <x:f t="shared" si="26"/>
        <x:v>6.975228333333334E-3</x:v>
      </x:c>
      <x:c r="M49" s="38">
        <x:v>3.7</x:v>
      </x:c>
      <x:c r="N49" s="38">
        <x:v>0</x:v>
      </x:c>
      <x:c r="O49" s="38">
        <x:f t="shared" si="27"/>
        <x:v>0</x:v>
      </x:c>
      <x:c r="P49" s="38">
        <x:f t="shared" si="28"/>
        <x:v>6.975228333333334E-3</x:v>
      </x:c>
      <x:c r="Q49" s="38">
        <x:v>0</x:v>
      </x:c>
      <x:c r="R49" s="38">
        <x:v>0</x:v>
      </x:c>
      <x:c r="S49" s="38">
        <x:v>0.5</x:v>
      </x:c>
      <x:c r="T49" s="38">
        <x:v>0</x:v>
      </x:c>
      <x:c r="U49" s="38">
        <x:v>2</x:v>
      </x:c>
      <x:c r="V49" s="38">
        <x:f t="shared" si="29"/>
        <x:v>6.9444444444444441E-3</x:v>
      </x:c>
      <x:c r="W49" s="34">
        <x:v>1</x:v>
      </x:c>
      <x:c r="X49" s="36">
        <x:v>6000</x:v>
      </x:c>
      <x:c r="Y49" s="40">
        <x:v>11</x:v>
      </x:c>
      <x:c r="Z49" s="40">
        <x:v>25</x:v>
      </x:c>
      <x:c r="AA49" s="38">
        <x:f t="shared" si="30"/>
        <x:v>6.0606060606060615E-2</x:v>
      </x:c>
      <x:c r="AB49" s="41">
        <x:v>0.98499999999999999</x:v>
      </x:c>
      <x:c r="AC49" s="38">
        <x:f t="shared" si="31"/>
        <x:v>9.2752030679040851E-2</x:v>
      </x:c>
    </x:row>
    <x:row r="50">
      <x:c r="A50" s="22"/>
      <x:c r="B50" s="22"/>
      <x:c r="C50" s="34"/>
      <x:c r="D50" s="34"/>
      <x:c r="E50" s="22"/>
      <x:c r="F50" s="22"/>
      <x:c r="G50" s="22"/>
      <x:c r="H50" s="36"/>
      <x:c r="I50" s="38"/>
      <x:c r="J50" s="38"/>
      <x:c r="K50" s="38"/>
      <x:c r="L50" s="38"/>
      <x:c r="M50" s="38"/>
      <x:c r="N50" s="38"/>
      <x:c r="O50" s="38"/>
      <x:c r="P50" s="38"/>
      <x:c r="Q50" s="38"/>
      <x:c r="R50" s="38"/>
      <x:c r="S50" s="38"/>
      <x:c r="T50" s="38"/>
      <x:c r="U50" s="38"/>
      <x:c r="V50" s="38"/>
      <x:c r="W50" s="34"/>
      <x:c r="X50" s="36"/>
      <x:c r="Y50" s="40"/>
      <x:c r="Z50" s="40"/>
      <x:c r="AA50" s="38"/>
      <x:c r="AB50" s="41"/>
      <x:c r="AC50" s="38"/>
    </x:row>
    <x:row r="51">
      <x:c r="A51" s="22"/>
      <x:c r="B51" s="22"/>
      <x:c r="C51" s="34"/>
      <x:c r="D51" s="34"/>
      <x:c r="E51" s="22"/>
      <x:c r="F51" s="22"/>
      <x:c r="G51" s="22"/>
      <x:c r="H51" s="36"/>
      <x:c r="I51" s="38"/>
      <x:c r="J51" s="38"/>
      <x:c r="K51" s="38"/>
      <x:c r="L51" s="38"/>
      <x:c r="M51" s="38"/>
      <x:c r="N51" s="38"/>
      <x:c r="O51" s="38"/>
      <x:c r="P51" s="38"/>
      <x:c r="Q51" s="38"/>
      <x:c r="R51" s="38"/>
      <x:c r="S51" s="38"/>
      <x:c r="T51" s="38"/>
      <x:c r="U51" s="38"/>
      <x:c r="V51" s="38"/>
      <x:c r="W51" s="34"/>
      <x:c r="X51" s="36"/>
      <x:c r="Y51" s="40"/>
      <x:c r="Z51" s="40"/>
      <x:c r="AA51" s="38"/>
      <x:c r="AB51" s="41"/>
      <x:c r="AC51" s="38"/>
    </x:row>
    <x:row r="52">
      <x:c r="A52" s="22"/>
      <x:c r="B52" s="22"/>
      <x:c r="C52" s="34"/>
      <x:c r="D52" s="34"/>
      <x:c r="E52" s="22"/>
      <x:c r="F52" s="22"/>
      <x:c r="G52" s="22"/>
      <x:c r="H52" s="36"/>
      <x:c r="I52" s="38"/>
      <x:c r="J52" s="38"/>
      <x:c r="K52" s="38"/>
      <x:c r="L52" s="38"/>
      <x:c r="M52" s="38"/>
      <x:c r="N52" s="38"/>
      <x:c r="O52" s="38"/>
      <x:c r="P52" s="38"/>
      <x:c r="Q52" s="38"/>
      <x:c r="R52" s="38"/>
      <x:c r="S52" s="38"/>
      <x:c r="T52" s="38"/>
      <x:c r="U52" s="38"/>
      <x:c r="V52" s="38"/>
      <x:c r="W52" s="34"/>
      <x:c r="X52" s="36"/>
      <x:c r="Y52" s="40"/>
      <x:c r="Z52" s="40"/>
      <x:c r="AA52" s="38"/>
      <x:c r="AB52" s="41"/>
      <x:c r="AC52" s="38"/>
    </x:row>
    <x:row r="53">
      <x:c r="A53" s="22"/>
      <x:c r="B53" s="22"/>
      <x:c r="C53" s="34"/>
      <x:c r="D53" s="34"/>
      <x:c r="E53" s="22"/>
      <x:c r="F53" s="22"/>
      <x:c r="G53" s="22"/>
      <x:c r="H53" s="36"/>
      <x:c r="I53" s="38"/>
      <x:c r="J53" s="38"/>
      <x:c r="K53" s="38"/>
      <x:c r="L53" s="38"/>
      <x:c r="M53" s="38"/>
      <x:c r="N53" s="38"/>
      <x:c r="O53" s="38"/>
      <x:c r="P53" s="38"/>
      <x:c r="Q53" s="38"/>
      <x:c r="R53" s="38"/>
      <x:c r="S53" s="38"/>
      <x:c r="T53" s="38"/>
      <x:c r="U53" s="38"/>
      <x:c r="V53" s="38"/>
      <x:c r="W53" s="34"/>
      <x:c r="X53" s="36"/>
      <x:c r="Y53" s="40"/>
      <x:c r="Z53" s="40"/>
      <x:c r="AA53" s="38"/>
      <x:c r="AB53" s="41"/>
      <x:c r="AC53" s="38"/>
    </x:row>
    <x:row r="54">
      <x:c r="A54" s="22"/>
      <x:c r="B54" s="22"/>
      <x:c r="C54" s="34"/>
      <x:c r="D54" s="34"/>
      <x:c r="E54" s="22"/>
      <x:c r="F54" s="22"/>
      <x:c r="G54" s="22"/>
      <x:c r="H54" s="36"/>
      <x:c r="I54" s="38"/>
      <x:c r="J54" s="38"/>
      <x:c r="K54" s="38"/>
      <x:c r="L54" s="38"/>
      <x:c r="M54" s="38"/>
      <x:c r="N54" s="38"/>
      <x:c r="O54" s="38"/>
      <x:c r="P54" s="38"/>
      <x:c r="Q54" s="38"/>
      <x:c r="R54" s="38"/>
      <x:c r="S54" s="38"/>
      <x:c r="T54" s="38"/>
      <x:c r="U54" s="38"/>
      <x:c r="V54" s="38"/>
      <x:c r="W54" s="34"/>
      <x:c r="X54" s="36"/>
      <x:c r="Y54" s="40"/>
      <x:c r="Z54" s="40"/>
      <x:c r="AA54" s="38"/>
      <x:c r="AB54" s="41"/>
      <x:c r="AC54" s="38"/>
    </x:row>
    <x:row r="55">
      <x:c r="A55" s="22"/>
      <x:c r="B55" s="22"/>
      <x:c r="C55" s="34"/>
      <x:c r="D55" s="34"/>
      <x:c r="E55" s="22"/>
      <x:c r="F55" s="22"/>
      <x:c r="G55" s="22"/>
      <x:c r="H55" s="36"/>
      <x:c r="I55" s="38"/>
      <x:c r="J55" s="38"/>
      <x:c r="K55" s="38"/>
      <x:c r="L55" s="38"/>
      <x:c r="M55" s="38"/>
      <x:c r="N55" s="38"/>
      <x:c r="O55" s="38"/>
      <x:c r="P55" s="38"/>
      <x:c r="Q55" s="38"/>
      <x:c r="R55" s="38"/>
      <x:c r="S55" s="38"/>
      <x:c r="T55" s="38"/>
      <x:c r="U55" s="38"/>
      <x:c r="V55" s="38"/>
      <x:c r="W55" s="34"/>
      <x:c r="X55" s="36"/>
      <x:c r="Y55" s="40"/>
      <x:c r="Z55" s="40"/>
      <x:c r="AA55" s="38"/>
      <x:c r="AB55" s="41"/>
      <x:c r="AC55" s="38"/>
    </x:row>
    <x:row r="56">
      <x:c r="A56" s="22"/>
      <x:c r="B56" s="22"/>
      <x:c r="C56" s="34"/>
      <x:c r="D56" s="34"/>
      <x:c r="E56" s="22"/>
      <x:c r="F56" s="22"/>
      <x:c r="G56" s="22"/>
      <x:c r="H56" s="36"/>
      <x:c r="I56" s="38"/>
      <x:c r="J56" s="38"/>
      <x:c r="K56" s="38"/>
      <x:c r="L56" s="38"/>
      <x:c r="M56" s="38"/>
      <x:c r="N56" s="38"/>
      <x:c r="O56" s="38"/>
      <x:c r="P56" s="38"/>
      <x:c r="Q56" s="38"/>
      <x:c r="R56" s="38"/>
      <x:c r="S56" s="38"/>
      <x:c r="T56" s="38"/>
      <x:c r="U56" s="38"/>
      <x:c r="V56" s="38"/>
      <x:c r="W56" s="34"/>
      <x:c r="X56" s="36"/>
      <x:c r="Y56" s="40"/>
      <x:c r="Z56" s="40"/>
      <x:c r="AA56" s="38"/>
      <x:c r="AB56" s="41"/>
      <x:c r="AC56" s="38"/>
    </x:row>
    <x:row r="57">
      <x:c r="A57" s="22"/>
      <x:c r="B57" s="22"/>
      <x:c r="C57" s="34"/>
      <x:c r="D57" s="34"/>
      <x:c r="E57" s="22"/>
      <x:c r="F57" s="22"/>
      <x:c r="G57" s="22"/>
      <x:c r="H57" s="36"/>
      <x:c r="I57" s="38"/>
      <x:c r="J57" s="38"/>
      <x:c r="K57" s="38"/>
      <x:c r="L57" s="38"/>
      <x:c r="M57" s="38"/>
      <x:c r="N57" s="38"/>
      <x:c r="O57" s="38"/>
      <x:c r="P57" s="38"/>
      <x:c r="Q57" s="38"/>
      <x:c r="R57" s="38"/>
      <x:c r="S57" s="38"/>
      <x:c r="T57" s="38"/>
      <x:c r="U57" s="38"/>
      <x:c r="V57" s="38"/>
      <x:c r="W57" s="34"/>
      <x:c r="X57" s="36"/>
      <x:c r="Y57" s="40"/>
      <x:c r="Z57" s="40"/>
      <x:c r="AA57" s="38"/>
      <x:c r="AB57" s="41"/>
      <x:c r="AC57" s="38"/>
    </x:row>
    <x:row r="58">
      <x:c r="A58" s="22"/>
      <x:c r="B58" s="22"/>
      <x:c r="C58" s="34"/>
      <x:c r="D58" s="34"/>
      <x:c r="E58" s="22"/>
      <x:c r="F58" s="22"/>
      <x:c r="G58" s="22"/>
      <x:c r="H58" s="36"/>
      <x:c r="I58" s="38"/>
      <x:c r="J58" s="38"/>
      <x:c r="K58" s="38"/>
      <x:c r="L58" s="38"/>
      <x:c r="M58" s="38"/>
      <x:c r="N58" s="38"/>
      <x:c r="O58" s="38"/>
      <x:c r="P58" s="38"/>
      <x:c r="Q58" s="38"/>
      <x:c r="R58" s="38"/>
      <x:c r="S58" s="38"/>
      <x:c r="T58" s="38"/>
      <x:c r="U58" s="38"/>
      <x:c r="V58" s="38"/>
      <x:c r="W58" s="34"/>
      <x:c r="X58" s="36"/>
      <x:c r="Y58" s="40"/>
      <x:c r="Z58" s="40"/>
      <x:c r="AA58" s="38"/>
      <x:c r="AB58" s="41"/>
      <x:c r="AC58" s="38"/>
    </x:row>
    <x:row r="59">
      <x:c r="A59" s="22"/>
      <x:c r="B59" s="22"/>
      <x:c r="C59" s="34"/>
      <x:c r="D59" s="34"/>
      <x:c r="E59" s="22"/>
      <x:c r="F59" s="22"/>
      <x:c r="G59" s="22"/>
      <x:c r="H59" s="36"/>
      <x:c r="I59" s="38"/>
      <x:c r="J59" s="38"/>
      <x:c r="K59" s="38"/>
      <x:c r="L59" s="38"/>
      <x:c r="M59" s="38"/>
      <x:c r="N59" s="38"/>
      <x:c r="O59" s="38"/>
      <x:c r="P59" s="38"/>
      <x:c r="Q59" s="38"/>
      <x:c r="R59" s="38"/>
      <x:c r="S59" s="38"/>
      <x:c r="T59" s="38"/>
      <x:c r="U59" s="38"/>
      <x:c r="V59" s="38"/>
      <x:c r="W59" s="34"/>
      <x:c r="X59" s="36"/>
      <x:c r="Y59" s="40"/>
      <x:c r="Z59" s="40"/>
      <x:c r="AA59" s="38"/>
      <x:c r="AB59" s="41"/>
      <x:c r="AC59" s="38"/>
    </x:row>
    <x:row r="60">
      <x:c r="A60" s="22"/>
      <x:c r="B60" s="22"/>
      <x:c r="C60" s="34"/>
      <x:c r="D60" s="34"/>
      <x:c r="E60" s="22"/>
      <x:c r="F60" s="22"/>
      <x:c r="G60" s="22"/>
      <x:c r="H60" s="36"/>
      <x:c r="I60" s="38"/>
      <x:c r="J60" s="38"/>
      <x:c r="K60" s="38"/>
      <x:c r="L60" s="38"/>
      <x:c r="M60" s="38"/>
      <x:c r="N60" s="38"/>
      <x:c r="O60" s="38"/>
      <x:c r="P60" s="38"/>
      <x:c r="Q60" s="38"/>
      <x:c r="R60" s="38"/>
      <x:c r="S60" s="38"/>
      <x:c r="T60" s="38"/>
      <x:c r="U60" s="38"/>
      <x:c r="V60" s="38"/>
      <x:c r="W60" s="34"/>
      <x:c r="X60" s="36"/>
      <x:c r="Y60" s="40"/>
      <x:c r="Z60" s="40"/>
      <x:c r="AA60" s="38"/>
      <x:c r="AB60" s="41"/>
      <x:c r="AC60" s="38"/>
    </x:row>
    <x:row r="61">
      <x:c r="A61" s="43" t="str">
        <x:v>质检工序</x:v>
      </x:c>
      <x:c r="B61" s="43"/>
      <x:c r="C61" s="44"/>
      <x:c r="D61" s="44"/>
      <x:c r="E61" s="43"/>
      <x:c r="F61" s="43"/>
      <x:c r="G61" s="43"/>
      <x:c r="H61" s="45"/>
      <x:c r="I61" s="46"/>
      <x:c r="J61" s="46"/>
      <x:c r="K61" s="46"/>
      <x:c r="L61" s="46"/>
      <x:c r="M61" s="46"/>
      <x:c r="N61" s="46"/>
      <x:c r="O61" s="46"/>
      <x:c r="P61" s="46"/>
      <x:c r="Q61" s="46"/>
      <x:c r="R61" s="46"/>
      <x:c r="S61" s="46"/>
      <x:c r="T61" s="46"/>
      <x:c r="U61" s="46"/>
      <x:c r="V61" s="46"/>
      <x:c r="W61" s="44"/>
      <x:c r="X61" s="45"/>
      <x:c r="Y61" s="47"/>
      <x:c r="Z61" s="47"/>
      <x:c r="AA61" s="46"/>
      <x:c r="AB61" s="48"/>
      <x:c r="AC61" s="46"/>
    </x:row>
    <x:row r="62">
      <x:c r="A62" s="22" t="str">
        <x:v>QI10</x:v>
      </x:c>
      <x:c r="B62" s="22" t="s">
        <x:v>420</x:v>
      </x:c>
      <x:c r="C62" s="34">
        <x:v>8</x:v>
      </x:c>
      <x:c r="D62" s="34" t="n">
        <x:f t="shared" ref="D62:D67" si="32">IFERROR(60*60/C62,0)</x:f>
        <x:v>450</x:v>
      </x:c>
      <x:c r="E62" s="22">
        <x:v>5</x:v>
      </x:c>
      <x:c r="F62" s="22">
        <x:v>22</x:v>
      </x:c>
      <x:c r="G62" s="22">
        <x:v>300</x:v>
      </x:c>
      <x:c r="H62" s="36">
        <x:v>10000</x:v>
      </x:c>
      <x:c r="I62" s="38" t="n">
        <x:f t="shared" ref="I62:I67" si="33">IFERROR(H62/E62/F62/G62/D62,0)</x:f>
        <x:v>0.0006734006734006734</x:v>
      </x:c>
      <x:c r="J62" s="38">
        <x:v>0.62777055000000004</x:v>
      </x:c>
      <x:c r="K62" s="38">
        <x:v>0.2</x:v>
      </x:c>
      <x:c r="L62" s="38" t="n">
        <x:f t="shared" ref="L62:L67" si="34">IFERROR(J62*K62/D62,0)</x:f>
        <x:v>0.0002790091333333334</x:v>
      </x:c>
      <x:c r="M62" s="38">
        <x:v>3.7</x:v>
      </x:c>
      <x:c r="N62" s="38">
        <x:v>0</x:v>
      </x:c>
      <x:c r="O62" s="38" t="n">
        <x:f t="shared" ref="O62:O67" si="35">IFERROR(N62*M62/D62,0)</x:f>
        <x:v>0</x:v>
      </x:c>
      <x:c r="P62" s="38" t="n">
        <x:f t="shared" ref="P62:P67" si="36">O62+L62</x:f>
        <x:v>0.0002790091333333334</x:v>
      </x:c>
      <x:c r="Q62" s="38">
        <x:v>0</x:v>
      </x:c>
      <x:c r="R62" s="38">
        <x:v>0</x:v>
      </x:c>
      <x:c r="S62" s="38">
        <x:v>0</x:v>
      </x:c>
      <x:c r="T62" s="38">
        <x:v>0</x:v>
      </x:c>
      <x:c r="U62" s="38">
        <x:v>0.5</x:v>
      </x:c>
      <x:c r="V62" s="38" t="n">
        <x:f t="shared" ref="V62:V67" si="37">IFERROR((Q62+R62+S62+T62+U62)/D62,0)</x:f>
        <x:v>0.0011111111111111111</x:v>
      </x:c>
      <x:c r="W62" s="34">
        <x:v>1</x:v>
      </x:c>
      <x:c r="X62" s="36">
        <x:v>6000</x:v>
      </x:c>
      <x:c r="Y62" s="40">
        <x:v>11</x:v>
      </x:c>
      <x:c r="Z62" s="40">
        <x:v>25</x:v>
      </x:c>
      <x:c r="AA62" s="38" t="n">
        <x:f t="shared" ref="AA62:AA67" si="38">IFERROR((W62*X62)/Y62/Z62/D62,0)</x:f>
        <x:v>0.04848484848484849</x:v>
      </x:c>
      <x:c r="AB62" s="41">
        <x:v>0.995</x:v>
      </x:c>
      <x:c r="AC62" s="38" t="n">
        <x:f t="shared" ref="AC62:AC67" si="39">IFERROR((I62+P62+V62+AA62)/AB62,0)</x:f>
        <x:v>0.05080238130923981</x:v>
      </x:c>
    </x:row>
    <x:row r="63">
      <x:c r="A63" s="22" t="str">
        <x:v>QI20</x:v>
      </x:c>
      <x:c r="B63" s="22" t="s">
        <x:v>421</x:v>
      </x:c>
      <x:c r="C63" s="34">
        <x:v>30</x:v>
      </x:c>
      <x:c r="D63" s="34">
        <x:f t="shared" si="32"/>
        <x:v>120</x:v>
      </x:c>
      <x:c r="E63" s="22">
        <x:v>7</x:v>
      </x:c>
      <x:c r="F63" s="22">
        <x:v>22</x:v>
      </x:c>
      <x:c r="G63" s="22">
        <x:v>300</x:v>
      </x:c>
      <x:c r="H63" s="36">
        <x:v>120000</x:v>
      </x:c>
      <x:c r="I63" s="38">
        <x:f t="shared" si="33"/>
        <x:v>2.1645021645021644E-2</x:v>
      </x:c>
      <x:c r="J63" s="38">
        <x:v>0.62777055000000004</x:v>
      </x:c>
      <x:c r="K63" s="38">
        <x:v>0.5</x:v>
      </x:c>
      <x:c r="L63" s="38">
        <x:f t="shared" si="34"/>
        <x:v>2.6157106250000004E-3</x:v>
      </x:c>
      <x:c r="M63" s="38">
        <x:v>3.7</x:v>
      </x:c>
      <x:c r="N63" s="38">
        <x:v>0</x:v>
      </x:c>
      <x:c r="O63" s="38">
        <x:f t="shared" si="35"/>
        <x:v>0</x:v>
      </x:c>
      <x:c r="P63" s="38">
        <x:f t="shared" si="36"/>
        <x:v>2.6157106250000004E-3</x:v>
      </x:c>
      <x:c r="Q63" s="38">
        <x:v>0</x:v>
      </x:c>
      <x:c r="R63" s="38">
        <x:v>0</x:v>
      </x:c>
      <x:c r="S63" s="38">
        <x:v>0</x:v>
      </x:c>
      <x:c r="T63" s="38">
        <x:v>0</x:v>
      </x:c>
      <x:c r="U63" s="38">
        <x:v>0.5</x:v>
      </x:c>
      <x:c r="V63" s="38">
        <x:f t="shared" si="37"/>
        <x:v>4.1666666666666666E-3</x:v>
      </x:c>
      <x:c r="W63" s="34">
        <x:v>1</x:v>
      </x:c>
      <x:c r="X63" s="36">
        <x:v>6000</x:v>
      </x:c>
      <x:c r="Y63" s="40">
        <x:v>11</x:v>
      </x:c>
      <x:c r="Z63" s="40">
        <x:v>25</x:v>
      </x:c>
      <x:c r="AA63" s="38">
        <x:f t="shared" si="38"/>
        <x:v>0.18181818181818182</x:v>
      </x:c>
      <x:c r="AB63" s="41">
        <x:v>0.998</x:v>
      </x:c>
      <x:c r="AC63" s="38">
        <x:f t="shared" si="39"/>
        <x:v>0.21066691458403819</x:v>
      </x:c>
    </x:row>
    <x:row r="64">
      <x:c r="A64" s="22" t="str">
        <x:v>QI30</x:v>
      </x:c>
      <x:c r="B64" s="22" t="s">
        <x:v>422</x:v>
      </x:c>
      <x:c r="C64" s="34">
        <x:v>12</x:v>
      </x:c>
      <x:c r="D64" s="34">
        <x:f t="shared" si="32"/>
        <x:v>300</x:v>
      </x:c>
      <x:c r="E64" s="22">
        <x:v>7</x:v>
      </x:c>
      <x:c r="F64" s="22">
        <x:v>22</x:v>
      </x:c>
      <x:c r="G64" s="22">
        <x:v>300</x:v>
      </x:c>
      <x:c r="H64" s="36">
        <x:v>160000</x:v>
      </x:c>
      <x:c r="I64" s="38">
        <x:f t="shared" si="33"/>
        <x:v>1.1544011544011546E-2</x:v>
      </x:c>
      <x:c r="J64" s="38">
        <x:v>0.62777055000000004</x:v>
      </x:c>
      <x:c r="K64" s="38">
        <x:v>1.5</x:v>
      </x:c>
      <x:c r="L64" s="38">
        <x:f t="shared" si="34"/>
        <x:v>3.1388527500000002E-3</x:v>
      </x:c>
      <x:c r="M64" s="38">
        <x:v>3.7</x:v>
      </x:c>
      <x:c r="N64" s="38">
        <x:v>0</x:v>
      </x:c>
      <x:c r="O64" s="38">
        <x:f t="shared" si="35"/>
        <x:v>0</x:v>
      </x:c>
      <x:c r="P64" s="38">
        <x:f t="shared" si="36"/>
        <x:v>3.1388527500000002E-3</x:v>
      </x:c>
      <x:c r="Q64" s="38">
        <x:v>0</x:v>
      </x:c>
      <x:c r="R64" s="38">
        <x:v>0</x:v>
      </x:c>
      <x:c r="S64" s="38">
        <x:v>0</x:v>
      </x:c>
      <x:c r="T64" s="38">
        <x:v>0</x:v>
      </x:c>
      <x:c r="U64" s="38">
        <x:v>0.5</x:v>
      </x:c>
      <x:c r="V64" s="38">
        <x:f t="shared" si="37"/>
        <x:v>1.6666666666666668E-3</x:v>
      </x:c>
      <x:c r="W64" s="34">
        <x:v>1</x:v>
      </x:c>
      <x:c r="X64" s="36">
        <x:v>6000</x:v>
      </x:c>
      <x:c r="Y64" s="40">
        <x:v>11</x:v>
      </x:c>
      <x:c r="Z64" s="40">
        <x:v>25</x:v>
      </x:c>
      <x:c r="AA64" s="38">
        <x:f t="shared" si="38"/>
        <x:v>7.2727272727272738E-2</x:v>
      </x:c>
      <x:c r="AB64" s="41">
        <x:v>0.995</x:v>
      </x:c>
      <x:c r="AC64" s="38">
        <x:f t="shared" si="39"/>
        <x:v>8.9524425817036138E-2</x:v>
      </x:c>
    </x:row>
    <x:row r="65">
      <x:c r="A65" s="22" t="str">
        <x:v>QI40</x:v>
      </x:c>
      <x:c r="B65" s="22" t="s">
        <x:v>423</x:v>
      </x:c>
      <x:c r="C65" s="34">
        <x:v>20</x:v>
      </x:c>
      <x:c r="D65" s="34">
        <x:f t="shared" si="32"/>
        <x:v>180</x:v>
      </x:c>
      <x:c r="E65" s="22">
        <x:v>7</x:v>
      </x:c>
      <x:c r="F65" s="22">
        <x:v>22</x:v>
      </x:c>
      <x:c r="G65" s="22">
        <x:v>300</x:v>
      </x:c>
      <x:c r="H65" s="36">
        <x:v>220000</x:v>
      </x:c>
      <x:c r="I65" s="38">
        <x:f t="shared" si="33"/>
        <x:v>2.6455026455026454E-2</x:v>
      </x:c>
      <x:c r="J65" s="38">
        <x:v>0.62777055000000004</x:v>
      </x:c>
      <x:c r="K65" s="38">
        <x:v>2</x:v>
      </x:c>
      <x:c r="L65" s="38">
        <x:f t="shared" si="34"/>
        <x:v>6.975228333333334E-3</x:v>
      </x:c>
      <x:c r="M65" s="38">
        <x:v>3.7</x:v>
      </x:c>
      <x:c r="N65" s="38">
        <x:v>0</x:v>
      </x:c>
      <x:c r="O65" s="38">
        <x:f t="shared" si="35"/>
        <x:v>0</x:v>
      </x:c>
      <x:c r="P65" s="38">
        <x:f t="shared" si="36"/>
        <x:v>6.975228333333334E-3</x:v>
      </x:c>
      <x:c r="Q65" s="38">
        <x:v>0</x:v>
      </x:c>
      <x:c r="R65" s="38">
        <x:v>0</x:v>
      </x:c>
      <x:c r="S65" s="38">
        <x:v>0</x:v>
      </x:c>
      <x:c r="T65" s="38">
        <x:v>0</x:v>
      </x:c>
      <x:c r="U65" s="38">
        <x:v>0.5</x:v>
      </x:c>
      <x:c r="V65" s="38">
        <x:f t="shared" si="37"/>
        <x:v>2.7777777777777779E-3</x:v>
      </x:c>
      <x:c r="W65" s="34">
        <x:v>1</x:v>
      </x:c>
      <x:c r="X65" s="36">
        <x:v>6000</x:v>
      </x:c>
      <x:c r="Y65" s="40">
        <x:v>11</x:v>
      </x:c>
      <x:c r="Z65" s="40">
        <x:v>25</x:v>
      </x:c>
      <x:c r="AA65" s="38">
        <x:f t="shared" si="38"/>
        <x:v>0.12121212121212123</x:v>
      </x:c>
      <x:c r="AB65" s="41">
        <x:v>0.99</x:v>
      </x:c>
      <x:c r="AC65" s="38">
        <x:f t="shared" si="39"/>
        <x:v>0.15901025634167557</x:v>
      </x:c>
    </x:row>
    <x:row r="66">
      <x:c r="A66" s="22" t="str">
        <x:v>QI50</x:v>
      </x:c>
      <x:c r="B66" s="22" t="s">
        <x:v>424</x:v>
      </x:c>
      <x:c r="C66" s="34">
        <x:v>25</x:v>
      </x:c>
      <x:c r="D66" s="34">
        <x:f t="shared" si="32"/>
        <x:v>144</x:v>
      </x:c>
      <x:c r="E66" s="22">
        <x:v>7</x:v>
      </x:c>
      <x:c r="F66" s="22">
        <x:v>22</x:v>
      </x:c>
      <x:c r="G66" s="22">
        <x:v>300</x:v>
      </x:c>
      <x:c r="H66" s="36">
        <x:v>350000</x:v>
      </x:c>
      <x:c r="I66" s="38">
        <x:f t="shared" si="33"/>
        <x:v>5.2609427609427606E-2</x:v>
      </x:c>
      <x:c r="J66" s="38">
        <x:v>0.62777055000000004</x:v>
      </x:c>
      <x:c r="K66" s="38">
        <x:v>3</x:v>
      </x:c>
      <x:c r="L66" s="38">
        <x:f t="shared" si="34"/>
        <x:v>1.3078553125E-2</x:v>
      </x:c>
      <x:c r="M66" s="38">
        <x:v>3.7</x:v>
      </x:c>
      <x:c r="N66" s="38">
        <x:v>0</x:v>
      </x:c>
      <x:c r="O66" s="38">
        <x:f t="shared" si="35"/>
        <x:v>0</x:v>
      </x:c>
      <x:c r="P66" s="38">
        <x:f t="shared" si="36"/>
        <x:v>1.3078553125E-2</x:v>
      </x:c>
      <x:c r="Q66" s="38">
        <x:v>0</x:v>
      </x:c>
      <x:c r="R66" s="38">
        <x:v>0</x:v>
      </x:c>
      <x:c r="S66" s="38">
        <x:v>0</x:v>
      </x:c>
      <x:c r="T66" s="38">
        <x:v>0</x:v>
      </x:c>
      <x:c r="U66" s="38">
        <x:v>0.5</x:v>
      </x:c>
      <x:c r="V66" s="38">
        <x:f t="shared" si="37"/>
        <x:v>3.472222222222222E-3</x:v>
      </x:c>
      <x:c r="W66" s="34">
        <x:v>1</x:v>
      </x:c>
      <x:c r="X66" s="36">
        <x:v>6000</x:v>
      </x:c>
      <x:c r="Y66" s="40">
        <x:v>11</x:v>
      </x:c>
      <x:c r="Z66" s="40">
        <x:v>25</x:v>
      </x:c>
      <x:c r="AA66" s="38">
        <x:f t="shared" si="38"/>
        <x:v>0.15151515151515152</x:v>
      </x:c>
      <x:c r="AB66" s="41">
        <x:v>0.99</x:v>
      </x:c>
      <x:c r="AC66" s="38">
        <x:f t="shared" si="39"/>
        <x:v>0.222904398456365</x:v>
      </x:c>
    </x:row>
    <x:row r="67">
      <x:c r="A67" s="22" t="str">
        <x:v>QI60</x:v>
      </x:c>
      <x:c r="B67" s="22" t="s">
        <x:v>425</x:v>
      </x:c>
      <x:c r="C67" s="34">
        <x:v>45</x:v>
      </x:c>
      <x:c r="D67" s="34">
        <x:f t="shared" si="32"/>
        <x:v>80</x:v>
      </x:c>
      <x:c r="E67" s="22">
        <x:v>8</x:v>
      </x:c>
      <x:c r="F67" s="22">
        <x:v>22</x:v>
      </x:c>
      <x:c r="G67" s="22">
        <x:v>300</x:v>
      </x:c>
      <x:c r="H67" s="36">
        <x:v>900000</x:v>
      </x:c>
      <x:c r="I67" s="38">
        <x:f t="shared" si="33"/>
        <x:v>0.21306818181818182</x:v>
      </x:c>
      <x:c r="J67" s="38">
        <x:v>0.62777055000000004</x:v>
      </x:c>
      <x:c r="K67" s="38">
        <x:v>5</x:v>
      </x:c>
      <x:c r="L67" s="38">
        <x:f t="shared" si="34"/>
        <x:v>3.9235659375000002E-2</x:v>
      </x:c>
      <x:c r="M67" s="38">
        <x:v>3.7</x:v>
      </x:c>
      <x:c r="N67" s="38">
        <x:v>0</x:v>
      </x:c>
      <x:c r="O67" s="38">
        <x:f t="shared" si="35"/>
        <x:v>0</x:v>
      </x:c>
      <x:c r="P67" s="38">
        <x:f t="shared" si="36"/>
        <x:v>3.9235659375000002E-2</x:v>
      </x:c>
      <x:c r="Q67" s="38">
        <x:v>0</x:v>
      </x:c>
      <x:c r="R67" s="38">
        <x:v>0</x:v>
      </x:c>
      <x:c r="S67" s="38">
        <x:v>0</x:v>
      </x:c>
      <x:c r="T67" s="38">
        <x:v>0</x:v>
      </x:c>
      <x:c r="U67" s="38">
        <x:v>0.5</x:v>
      </x:c>
      <x:c r="V67" s="38">
        <x:f t="shared" si="37"/>
        <x:v>6.2500000000000003E-3</x:v>
      </x:c>
      <x:c r="W67" s="34">
        <x:v>1</x:v>
      </x:c>
      <x:c r="X67" s="36">
        <x:v>6000</x:v>
      </x:c>
      <x:c r="Y67" s="40">
        <x:v>11</x:v>
      </x:c>
      <x:c r="Z67" s="40">
        <x:v>25</x:v>
      </x:c>
      <x:c r="AA67" s="38">
        <x:f t="shared" si="38"/>
        <x:v>0.27272727272727276</x:v>
      </x:c>
      <x:c r="AB67" s="41">
        <x:v>0.998</x:v>
      </x:c>
      <x:c r="AC67" s="38">
        <x:f t="shared" si="39"/>
        <x:v>0.53234580553151756</x:v>
      </x:c>
    </x:row>
    <x:row r="68">
      <x:c r="A68" s="22"/>
      <x:c r="B68" s="22"/>
      <x:c r="C68" s="34"/>
      <x:c r="D68" s="34"/>
      <x:c r="E68" s="22"/>
      <x:c r="F68" s="22"/>
      <x:c r="G68" s="22"/>
      <x:c r="H68" s="36"/>
      <x:c r="I68" s="38"/>
      <x:c r="J68" s="38"/>
      <x:c r="K68" s="38"/>
      <x:c r="L68" s="38"/>
      <x:c r="M68" s="38"/>
      <x:c r="N68" s="38"/>
      <x:c r="O68" s="38"/>
      <x:c r="P68" s="38"/>
      <x:c r="Q68" s="38"/>
      <x:c r="R68" s="38"/>
      <x:c r="S68" s="38"/>
      <x:c r="T68" s="38"/>
      <x:c r="U68" s="38"/>
      <x:c r="V68" s="38"/>
      <x:c r="W68" s="34"/>
      <x:c r="X68" s="36"/>
      <x:c r="Y68" s="40"/>
      <x:c r="Z68" s="40"/>
      <x:c r="AA68" s="38"/>
      <x:c r="AB68" s="41"/>
      <x:c r="AC68" s="38"/>
    </x:row>
    <x:row r="69">
      <x:c r="A69" s="22"/>
      <x:c r="B69" s="22"/>
      <x:c r="C69" s="34"/>
      <x:c r="D69" s="34"/>
      <x:c r="E69" s="22"/>
      <x:c r="F69" s="22"/>
      <x:c r="G69" s="22"/>
      <x:c r="H69" s="36"/>
      <x:c r="I69" s="38"/>
      <x:c r="J69" s="38"/>
      <x:c r="K69" s="38"/>
      <x:c r="L69" s="38"/>
      <x:c r="M69" s="38"/>
      <x:c r="N69" s="38"/>
      <x:c r="O69" s="38"/>
      <x:c r="P69" s="38"/>
      <x:c r="Q69" s="38"/>
      <x:c r="R69" s="38"/>
      <x:c r="S69" s="38"/>
      <x:c r="T69" s="38"/>
      <x:c r="U69" s="38"/>
      <x:c r="V69" s="38"/>
      <x:c r="W69" s="34"/>
      <x:c r="X69" s="36"/>
      <x:c r="Y69" s="40"/>
      <x:c r="Z69" s="40"/>
      <x:c r="AA69" s="38"/>
      <x:c r="AB69" s="41"/>
      <x:c r="AC69" s="38"/>
    </x:row>
    <x:row r="70">
      <x:c r="A70" s="22"/>
      <x:c r="B70" s="22"/>
      <x:c r="C70" s="34"/>
      <x:c r="D70" s="34"/>
      <x:c r="E70" s="22"/>
      <x:c r="F70" s="22"/>
      <x:c r="G70" s="22"/>
      <x:c r="H70" s="36"/>
      <x:c r="I70" s="38"/>
      <x:c r="J70" s="38"/>
      <x:c r="K70" s="38"/>
      <x:c r="L70" s="38"/>
      <x:c r="M70" s="38"/>
      <x:c r="N70" s="38"/>
      <x:c r="O70" s="38"/>
      <x:c r="P70" s="38"/>
      <x:c r="Q70" s="38"/>
      <x:c r="R70" s="38"/>
      <x:c r="S70" s="38"/>
      <x:c r="T70" s="38"/>
      <x:c r="U70" s="38"/>
      <x:c r="V70" s="38"/>
      <x:c r="W70" s="34"/>
      <x:c r="X70" s="36"/>
      <x:c r="Y70" s="40"/>
      <x:c r="Z70" s="40"/>
      <x:c r="AA70" s="38"/>
      <x:c r="AB70" s="41"/>
      <x:c r="AC70" s="38"/>
    </x:row>
    <x:row r="71">
      <x:c r="A71" s="43" t="str">
        <x:v>包装工序</x:v>
      </x:c>
      <x:c r="B71" s="43"/>
      <x:c r="C71" s="44"/>
      <x:c r="D71" s="44"/>
      <x:c r="E71" s="43"/>
      <x:c r="F71" s="43"/>
      <x:c r="G71" s="43"/>
      <x:c r="H71" s="45"/>
      <x:c r="I71" s="46"/>
      <x:c r="J71" s="46"/>
      <x:c r="K71" s="46"/>
      <x:c r="L71" s="46"/>
      <x:c r="M71" s="46"/>
      <x:c r="N71" s="46"/>
      <x:c r="O71" s="46"/>
      <x:c r="P71" s="46"/>
      <x:c r="Q71" s="46"/>
      <x:c r="R71" s="46"/>
      <x:c r="S71" s="46"/>
      <x:c r="T71" s="46"/>
      <x:c r="U71" s="46"/>
      <x:c r="V71" s="46"/>
      <x:c r="W71" s="44"/>
      <x:c r="X71" s="45"/>
      <x:c r="Y71" s="47"/>
      <x:c r="Z71" s="47"/>
      <x:c r="AA71" s="46"/>
      <x:c r="AB71" s="48"/>
      <x:c r="AC71" s="46"/>
    </x:row>
    <x:row r="72">
      <x:c r="A72" s="22" t="str">
        <x:v>PK10</x:v>
      </x:c>
      <x:c r="B72" s="22" t="s">
        <x:v>426</x:v>
      </x:c>
      <x:c r="C72" s="34">
        <x:v>8</x:v>
      </x:c>
      <x:c r="D72" s="34" t="n">
        <x:f t="shared" ref="D72:D78" si="40">IFERROR(60*60/C72,0)</x:f>
        <x:v>450</x:v>
      </x:c>
      <x:c r="E72" s="22">
        <x:v>5</x:v>
      </x:c>
      <x:c r="F72" s="22">
        <x:v>22</x:v>
      </x:c>
      <x:c r="G72" s="22">
        <x:v>300</x:v>
      </x:c>
      <x:c r="H72" s="36">
        <x:v>5000</x:v>
      </x:c>
      <x:c r="I72" s="38" t="n">
        <x:f t="shared" ref="I72:I78" si="41">IFERROR(H72/E72/F72/G72/D72,0)</x:f>
        <x:v>0.0003367003367003367</x:v>
      </x:c>
      <x:c r="J72" s="38">
        <x:v>0.62777055000000004</x:v>
      </x:c>
      <x:c r="K72" s="38">
        <x:v>0.1</x:v>
      </x:c>
      <x:c r="L72" s="38" t="n">
        <x:f t="shared" ref="L72:L78" si="42">IFERROR(J72*K72/D72,0)</x:f>
        <x:v>0.0001395045666666667</x:v>
      </x:c>
      <x:c r="M72" s="38">
        <x:v>3.7</x:v>
      </x:c>
      <x:c r="N72" s="38">
        <x:v>0</x:v>
      </x:c>
      <x:c r="O72" s="38" t="n">
        <x:f t="shared" ref="O72:O78" si="43">IFERROR(N72*M72/D72,0)</x:f>
        <x:v>0</x:v>
      </x:c>
      <x:c r="P72" s="38" t="n">
        <x:f t="shared" ref="P72:P78" si="44">O72+L72</x:f>
        <x:v>0.0001395045666666667</x:v>
      </x:c>
      <x:c r="Q72" s="38">
        <x:v>0</x:v>
      </x:c>
      <x:c r="R72" s="38">
        <x:v>0</x:v>
      </x:c>
      <x:c r="S72" s="38">
        <x:v>0</x:v>
      </x:c>
      <x:c r="T72" s="38">
        <x:v>0</x:v>
      </x:c>
      <x:c r="U72" s="38">
        <x:v>1</x:v>
      </x:c>
      <x:c r="V72" s="38" t="n">
        <x:f t="shared" ref="V72:V78" si="45">IFERROR((Q72+R72+S72+T72+U72)/D72,0)</x:f>
        <x:v>0.0022222222222222222</x:v>
      </x:c>
      <x:c r="W72" s="34">
        <x:v>1</x:v>
      </x:c>
      <x:c r="X72" s="36">
        <x:v>6000</x:v>
      </x:c>
      <x:c r="Y72" s="40">
        <x:v>11</x:v>
      </x:c>
      <x:c r="Z72" s="40">
        <x:v>25</x:v>
      </x:c>
      <x:c r="AA72" s="38" t="n">
        <x:f t="shared" ref="AA72:AA78" si="46">IFERROR((W72*X72)/Y72/Z72/D72,0)</x:f>
        <x:v>0.04848484848484849</x:v>
      </x:c>
      <x:c r="AB72" s="41">
        <x:v>0.998</x:v>
      </x:c>
      <x:c r="AC72" s="38" t="n">
        <x:f t="shared" ref="AC72:AC78" si="47">IFERROR((I72+P72+V72+AA72)/AB72,0)</x:f>
        <x:v>0.05128584730504781</x:v>
      </x:c>
    </x:row>
    <x:row r="73">
      <x:c r="A73" s="22" t="str">
        <x:v>PK20</x:v>
      </x:c>
      <x:c r="B73" s="22" t="s">
        <x:v>427</x:v>
      </x:c>
      <x:c r="C73" s="34">
        <x:v>5</x:v>
      </x:c>
      <x:c r="D73" s="34">
        <x:f t="shared" si="40"/>
        <x:v>720</x:v>
      </x:c>
      <x:c r="E73" s="22">
        <x:v>5</x:v>
      </x:c>
      <x:c r="F73" s="22">
        <x:v>22</x:v>
      </x:c>
      <x:c r="G73" s="22">
        <x:v>300</x:v>
      </x:c>
      <x:c r="H73" s="36">
        <x:v>12000</x:v>
      </x:c>
      <x:c r="I73" s="38">
        <x:f t="shared" si="41"/>
        <x:v>5.0505050505050505E-4</x:v>
      </x:c>
      <x:c r="J73" s="38">
        <x:v>0.62777055000000004</x:v>
      </x:c>
      <x:c r="K73" s="38">
        <x:v>0.2</x:v>
      </x:c>
      <x:c r="L73" s="38">
        <x:f t="shared" si="42"/>
        <x:v>1.7438070833333336E-4</x:v>
      </x:c>
      <x:c r="M73" s="38">
        <x:v>3.7</x:v>
      </x:c>
      <x:c r="N73" s="38">
        <x:v>0</x:v>
      </x:c>
      <x:c r="O73" s="38">
        <x:f t="shared" si="43"/>
        <x:v>0</x:v>
      </x:c>
      <x:c r="P73" s="38">
        <x:f t="shared" si="44"/>
        <x:v>1.7438070833333336E-4</x:v>
      </x:c>
      <x:c r="Q73" s="38">
        <x:v>0</x:v>
      </x:c>
      <x:c r="R73" s="38">
        <x:v>0</x:v>
      </x:c>
      <x:c r="S73" s="38">
        <x:v>0</x:v>
      </x:c>
      <x:c r="T73" s="38">
        <x:v>0</x:v>
      </x:c>
      <x:c r="U73" s="38">
        <x:v>1</x:v>
      </x:c>
      <x:c r="V73" s="38">
        <x:f t="shared" si="45"/>
        <x:v>1.3888888888888889E-3</x:v>
      </x:c>
      <x:c r="W73" s="34">
        <x:v>1</x:v>
      </x:c>
      <x:c r="X73" s="36">
        <x:v>6000</x:v>
      </x:c>
      <x:c r="Y73" s="40">
        <x:v>11</x:v>
      </x:c>
      <x:c r="Z73" s="40">
        <x:v>25</x:v>
      </x:c>
      <x:c r="AA73" s="38">
        <x:f t="shared" si="46"/>
        <x:v>3.0303030303030307E-2</x:v>
      </x:c>
      <x:c r="AB73" s="41">
        <x:v>0.998</x:v>
      </x:c>
      <x:c r="AC73" s="38">
        <x:f t="shared" si="47"/>
        <x:v>3.2436222851005045E-2</x:v>
      </x:c>
    </x:row>
    <x:row r="74">
      <x:c r="A74" s="22" t="str">
        <x:v>PK30</x:v>
      </x:c>
      <x:c r="B74" s="22" t="s">
        <x:v>428</x:v>
      </x:c>
      <x:c r="C74" s="34">
        <x:v>10</x:v>
      </x:c>
      <x:c r="D74" s="34">
        <x:f t="shared" si="40"/>
        <x:v>360</x:v>
      </x:c>
      <x:c r="E74" s="22">
        <x:v>5</x:v>
      </x:c>
      <x:c r="F74" s="22">
        <x:v>22</x:v>
      </x:c>
      <x:c r="G74" s="22">
        <x:v>300</x:v>
      </x:c>
      <x:c r="H74" s="36">
        <x:v>8000</x:v>
      </x:c>
      <x:c r="I74" s="38">
        <x:f t="shared" si="41"/>
        <x:v>6.7340067340067354E-4</x:v>
      </x:c>
      <x:c r="J74" s="38">
        <x:v>0.62777055000000004</x:v>
      </x:c>
      <x:c r="K74" s="38">
        <x:v>0.1</x:v>
      </x:c>
      <x:c r="L74" s="38">
        <x:f t="shared" si="42"/>
        <x:v>1.7438070833333336E-4</x:v>
      </x:c>
      <x:c r="M74" s="38">
        <x:v>3.7</x:v>
      </x:c>
      <x:c r="N74" s="38">
        <x:v>0</x:v>
      </x:c>
      <x:c r="O74" s="38">
        <x:f t="shared" si="43"/>
        <x:v>0</x:v>
      </x:c>
      <x:c r="P74" s="38">
        <x:f t="shared" si="44"/>
        <x:v>1.7438070833333336E-4</x:v>
      </x:c>
      <x:c r="Q74" s="38">
        <x:v>0</x:v>
      </x:c>
      <x:c r="R74" s="38">
        <x:v>0</x:v>
      </x:c>
      <x:c r="S74" s="38">
        <x:v>0</x:v>
      </x:c>
      <x:c r="T74" s="38">
        <x:v>0</x:v>
      </x:c>
      <x:c r="U74" s="38">
        <x:v>1</x:v>
      </x:c>
      <x:c r="V74" s="38">
        <x:f t="shared" si="45"/>
        <x:v>2.7777777777777779E-3</x:v>
      </x:c>
      <x:c r="W74" s="34">
        <x:v>1</x:v>
      </x:c>
      <x:c r="X74" s="36">
        <x:v>6000</x:v>
      </x:c>
      <x:c r="Y74" s="40">
        <x:v>11</x:v>
      </x:c>
      <x:c r="Z74" s="40">
        <x:v>25</x:v>
      </x:c>
      <x:c r="AA74" s="38">
        <x:f t="shared" si="46"/>
        <x:v>6.0606060606060615E-2</x:v>
      </x:c>
      <x:c r="AB74" s="41">
        <x:v>0.998</x:v>
      </x:c>
      <x:c r="AC74" s="38">
        <x:f t="shared" si="47"/>
        <x:v>6.4360340446465325E-2</x:v>
      </x:c>
    </x:row>
    <x:row r="75">
      <x:c r="A75" s="22" t="str">
        <x:v>PK40</x:v>
      </x:c>
      <x:c r="B75" s="22" t="s">
        <x:v>429</x:v>
      </x:c>
      <x:c r="C75" s="34">
        <x:v>12</x:v>
      </x:c>
      <x:c r="D75" s="34">
        <x:f t="shared" si="40"/>
        <x:v>300</x:v>
      </x:c>
      <x:c r="E75" s="22">
        <x:v>5</x:v>
      </x:c>
      <x:c r="F75" s="22">
        <x:v>22</x:v>
      </x:c>
      <x:c r="G75" s="22">
        <x:v>300</x:v>
      </x:c>
      <x:c r="H75" s="36">
        <x:v>8000</x:v>
      </x:c>
      <x:c r="I75" s="38">
        <x:f t="shared" si="41"/>
        <x:v>8.0808080808080819E-4</x:v>
      </x:c>
      <x:c r="J75" s="38">
        <x:v>0.62777055000000004</x:v>
      </x:c>
      <x:c r="K75" s="38">
        <x:v>0.1</x:v>
      </x:c>
      <x:c r="L75" s="38">
        <x:f t="shared" si="42"/>
        <x:v>2.0925685000000005E-4</x:v>
      </x:c>
      <x:c r="M75" s="38">
        <x:v>3.7</x:v>
      </x:c>
      <x:c r="N75" s="38">
        <x:v>0</x:v>
      </x:c>
      <x:c r="O75" s="38">
        <x:f t="shared" si="43"/>
        <x:v>0</x:v>
      </x:c>
      <x:c r="P75" s="38">
        <x:f t="shared" si="44"/>
        <x:v>2.0925685000000005E-4</x:v>
      </x:c>
      <x:c r="Q75" s="38">
        <x:v>0</x:v>
      </x:c>
      <x:c r="R75" s="38">
        <x:v>0</x:v>
      </x:c>
      <x:c r="S75" s="38">
        <x:v>0</x:v>
      </x:c>
      <x:c r="T75" s="38">
        <x:v>0</x:v>
      </x:c>
      <x:c r="U75" s="38">
        <x:v>1</x:v>
      </x:c>
      <x:c r="V75" s="38">
        <x:f t="shared" si="45"/>
        <x:v>3.3333333333333335E-3</x:v>
      </x:c>
      <x:c r="W75" s="34">
        <x:v>1</x:v>
      </x:c>
      <x:c r="X75" s="36">
        <x:v>6000</x:v>
      </x:c>
      <x:c r="Y75" s="40">
        <x:v>11</x:v>
      </x:c>
      <x:c r="Z75" s="40">
        <x:v>25</x:v>
      </x:c>
      <x:c r="AA75" s="38">
        <x:f t="shared" si="46"/>
        <x:v>7.2727272727272738E-2</x:v>
      </x:c>
      <x:c r="AB75" s="41">
        <x:v>0.998</x:v>
      </x:c>
      <x:c r="AC75" s="38">
        <x:f t="shared" si="47"/>
        <x:v>7.7232408535758398E-2</x:v>
      </x:c>
    </x:row>
    <x:row r="76">
      <x:c r="A76" s="22" t="str">
        <x:v>PK50</x:v>
      </x:c>
      <x:c r="B76" s="22" t="s">
        <x:v>430</x:v>
      </x:c>
      <x:c r="C76" s="34">
        <x:v>4</x:v>
      </x:c>
      <x:c r="D76" s="34">
        <x:f t="shared" si="40"/>
        <x:v>900</x:v>
      </x:c>
      <x:c r="E76" s="22">
        <x:v>7</x:v>
      </x:c>
      <x:c r="F76" s="22">
        <x:v>22</x:v>
      </x:c>
      <x:c r="G76" s="22">
        <x:v>300</x:v>
      </x:c>
      <x:c r="H76" s="36">
        <x:v>45000</x:v>
      </x:c>
      <x:c r="I76" s="38">
        <x:f t="shared" si="41"/>
        <x:v>1.082251082251082E-3</x:v>
      </x:c>
      <x:c r="J76" s="38">
        <x:v>0.62777055000000004</x:v>
      </x:c>
      <x:c r="K76" s="38">
        <x:v>0.5</x:v>
      </x:c>
      <x:c r="L76" s="38">
        <x:f t="shared" si="42"/>
        <x:v>3.4876141666666667E-4</x:v>
      </x:c>
      <x:c r="M76" s="38">
        <x:v>3.7</x:v>
      </x:c>
      <x:c r="N76" s="38">
        <x:v>0</x:v>
      </x:c>
      <x:c r="O76" s="38">
        <x:f t="shared" si="43"/>
        <x:v>0</x:v>
      </x:c>
      <x:c r="P76" s="38">
        <x:f t="shared" si="44"/>
        <x:v>3.4876141666666667E-4</x:v>
      </x:c>
      <x:c r="Q76" s="38">
        <x:v>0</x:v>
      </x:c>
      <x:c r="R76" s="38">
        <x:v>0</x:v>
      </x:c>
      <x:c r="S76" s="38">
        <x:v>0</x:v>
      </x:c>
      <x:c r="T76" s="38">
        <x:v>0</x:v>
      </x:c>
      <x:c r="U76" s="38">
        <x:v>1</x:v>
      </x:c>
      <x:c r="V76" s="38">
        <x:f t="shared" si="45"/>
        <x:v>1.1111111111111111E-3</x:v>
      </x:c>
      <x:c r="W76" s="34">
        <x:v>1</x:v>
      </x:c>
      <x:c r="X76" s="36">
        <x:v>6000</x:v>
      </x:c>
      <x:c r="Y76" s="40">
        <x:v>11</x:v>
      </x:c>
      <x:c r="Z76" s="40">
        <x:v>25</x:v>
      </x:c>
      <x:c r="AA76" s="38">
        <x:f t="shared" si="46"/>
        <x:v>2.4242424242424246E-2</x:v>
      </x:c>
      <x:c r="AB76" s="41">
        <x:v>0.998</x:v>
      </x:c>
      <x:c r="AC76" s="38">
        <x:f t="shared" si="47"/>
        <x:v>2.6838224301055216E-2</x:v>
      </x:c>
    </x:row>
    <x:row r="77">
      <x:c r="A77" s="22" t="str">
        <x:v>PK60</x:v>
      </x:c>
      <x:c r="B77" s="22" t="s">
        <x:v>431</x:v>
      </x:c>
      <x:c r="C77" s="34">
        <x:v>8</x:v>
      </x:c>
      <x:c r="D77" s="34">
        <x:f t="shared" si="40"/>
        <x:v>450</x:v>
      </x:c>
      <x:c r="E77" s="22">
        <x:v>7</x:v>
      </x:c>
      <x:c r="F77" s="22">
        <x:v>22</x:v>
      </x:c>
      <x:c r="G77" s="22">
        <x:v>300</x:v>
      </x:c>
      <x:c r="H77" s="36">
        <x:v>30000</x:v>
      </x:c>
      <x:c r="I77" s="38">
        <x:f t="shared" si="41"/>
        <x:v>1.443001443001443E-3</x:v>
      </x:c>
      <x:c r="J77" s="38">
        <x:v>0.62777055000000004</x:v>
      </x:c>
      <x:c r="K77" s="38">
        <x:v>0.8</x:v>
      </x:c>
      <x:c r="L77" s="38">
        <x:f t="shared" si="42"/>
        <x:v>1.1160365333333336E-3</x:v>
      </x:c>
      <x:c r="M77" s="38">
        <x:v>3.7</x:v>
      </x:c>
      <x:c r="N77" s="38">
        <x:v>0</x:v>
      </x:c>
      <x:c r="O77" s="38">
        <x:f t="shared" si="43"/>
        <x:v>0</x:v>
      </x:c>
      <x:c r="P77" s="38">
        <x:f t="shared" si="44"/>
        <x:v>1.1160365333333336E-3</x:v>
      </x:c>
      <x:c r="Q77" s="38">
        <x:v>0</x:v>
      </x:c>
      <x:c r="R77" s="38">
        <x:v>0</x:v>
      </x:c>
      <x:c r="S77" s="38">
        <x:v>0</x:v>
      </x:c>
      <x:c r="T77" s="38">
        <x:v>0</x:v>
      </x:c>
      <x:c r="U77" s="38">
        <x:v>1</x:v>
      </x:c>
      <x:c r="V77" s="38">
        <x:f t="shared" si="45"/>
        <x:v>2.2222222222222222E-3</x:v>
      </x:c>
      <x:c r="W77" s="34">
        <x:v>1</x:v>
      </x:c>
      <x:c r="X77" s="36">
        <x:v>6000</x:v>
      </x:c>
      <x:c r="Y77" s="40">
        <x:v>11</x:v>
      </x:c>
      <x:c r="Z77" s="40">
        <x:v>25</x:v>
      </x:c>
      <x:c r="AA77" s="38">
        <x:f t="shared" si="46"/>
        <x:v>4.8484848484848492E-2</x:v>
      </x:c>
      <x:c r="AB77" s="41">
        <x:v>0.998</x:v>
      </x:c>
      <x:c r="AC77" s="38">
        <x:f t="shared" si="47"/>
        <x:v>5.3372854392189868E-2</x:v>
      </x:c>
    </x:row>
    <x:row r="78">
      <x:c r="A78" s="22" t="str">
        <x:v>PK70</x:v>
      </x:c>
      <x:c r="B78" s="22" t="s">
        <x:v>432</x:v>
      </x:c>
      <x:c r="C78" s="34">
        <x:v>20</x:v>
      </x:c>
      <x:c r="D78" s="34">
        <x:f t="shared" si="40"/>
        <x:v>180</x:v>
      </x:c>
      <x:c r="E78" s="22">
        <x:v>7</x:v>
      </x:c>
      <x:c r="F78" s="22">
        <x:v>22</x:v>
      </x:c>
      <x:c r="G78" s="22">
        <x:v>300</x:v>
      </x:c>
      <x:c r="H78" s="36">
        <x:v>15000</x:v>
      </x:c>
      <x:c r="I78" s="38">
        <x:f t="shared" si="41"/>
        <x:v>1.8037518037518038E-3</x:v>
      </x:c>
      <x:c r="J78" s="38">
        <x:v>0.62777055000000004</x:v>
      </x:c>
      <x:c r="K78" s="38">
        <x:v>0.1</x:v>
      </x:c>
      <x:c r="L78" s="38">
        <x:f t="shared" si="42"/>
        <x:v>3.4876141666666672E-4</x:v>
      </x:c>
      <x:c r="M78" s="38">
        <x:v>3.7</x:v>
      </x:c>
      <x:c r="N78" s="38">
        <x:v>0</x:v>
      </x:c>
      <x:c r="O78" s="38">
        <x:f t="shared" si="43"/>
        <x:v>0</x:v>
      </x:c>
      <x:c r="P78" s="38">
        <x:f t="shared" si="44"/>
        <x:v>3.4876141666666672E-4</x:v>
      </x:c>
      <x:c r="Q78" s="38">
        <x:v>0</x:v>
      </x:c>
      <x:c r="R78" s="38">
        <x:v>0</x:v>
      </x:c>
      <x:c r="S78" s="38">
        <x:v>0</x:v>
      </x:c>
      <x:c r="T78" s="38">
        <x:v>0</x:v>
      </x:c>
      <x:c r="U78" s="38">
        <x:v>1</x:v>
      </x:c>
      <x:c r="V78" s="38">
        <x:f t="shared" si="45"/>
        <x:v>5.5555555555555558E-3</x:v>
      </x:c>
      <x:c r="W78" s="34">
        <x:v>1</x:v>
      </x:c>
      <x:c r="X78" s="36">
        <x:v>6000</x:v>
      </x:c>
      <x:c r="Y78" s="40">
        <x:v>11</x:v>
      </x:c>
      <x:c r="Z78" s="40">
        <x:v>25</x:v>
      </x:c>
      <x:c r="AA78" s="38">
        <x:f t="shared" si="46"/>
        <x:v>0.12121212121212123</x:v>
      </x:c>
      <x:c r="AB78" s="41">
        <x:v>0.998</x:v>
      </x:c>
      <x:c r="AC78" s="38">
        <x:f t="shared" si="47"/>
        <x:v>0.12917854708225979</x:v>
      </x:c>
    </x:row>
    <x:row r="79">
      <x:c r="A79" s="22"/>
      <x:c r="B79" s="22"/>
      <x:c r="C79" s="34"/>
      <x:c r="D79" s="34"/>
      <x:c r="E79" s="22"/>
      <x:c r="F79" s="22"/>
      <x:c r="G79" s="22"/>
      <x:c r="H79" s="36"/>
      <x:c r="I79" s="38"/>
      <x:c r="J79" s="38"/>
      <x:c r="K79" s="38"/>
      <x:c r="L79" s="38"/>
      <x:c r="M79" s="38"/>
      <x:c r="N79" s="38"/>
      <x:c r="O79" s="38"/>
      <x:c r="P79" s="38"/>
      <x:c r="Q79" s="38"/>
      <x:c r="R79" s="38"/>
      <x:c r="S79" s="38"/>
      <x:c r="T79" s="38"/>
      <x:c r="U79" s="38"/>
      <x:c r="V79" s="38"/>
      <x:c r="W79" s="34"/>
      <x:c r="X79" s="36"/>
      <x:c r="Y79" s="40"/>
      <x:c r="Z79" s="40"/>
      <x:c r="AA79" s="38"/>
      <x:c r="AB79" s="41"/>
      <x:c r="AC79" s="38"/>
    </x:row>
    <x:row r="80">
      <x:c r="A80" s="22"/>
      <x:c r="B80" s="22"/>
      <x:c r="C80" s="34"/>
      <x:c r="D80" s="34"/>
      <x:c r="E80" s="22"/>
      <x:c r="F80" s="22"/>
      <x:c r="G80" s="22"/>
      <x:c r="H80" s="36"/>
      <x:c r="I80" s="38"/>
      <x:c r="J80" s="38"/>
      <x:c r="K80" s="38"/>
      <x:c r="L80" s="38"/>
      <x:c r="M80" s="38"/>
      <x:c r="N80" s="38"/>
      <x:c r="O80" s="38"/>
      <x:c r="P80" s="38"/>
      <x:c r="Q80" s="38"/>
      <x:c r="R80" s="38"/>
      <x:c r="S80" s="38"/>
      <x:c r="T80" s="38"/>
      <x:c r="U80" s="38"/>
      <x:c r="V80" s="38"/>
      <x:c r="W80" s="34"/>
      <x:c r="X80" s="36"/>
      <x:c r="Y80" s="40"/>
      <x:c r="Z80" s="40"/>
      <x:c r="AA80" s="38"/>
      <x:c r="AB80" s="41"/>
      <x:c r="AC80" s="38"/>
    </x:row>
    <x:row r="81">
      <x:c r="A81" s="22"/>
      <x:c r="B81" s="22"/>
      <x:c r="C81" s="34"/>
      <x:c r="D81" s="34"/>
      <x:c r="E81" s="22"/>
      <x:c r="F81" s="22"/>
      <x:c r="G81" s="22"/>
      <x:c r="H81" s="36"/>
      <x:c r="I81" s="38"/>
      <x:c r="J81" s="38"/>
      <x:c r="K81" s="38"/>
      <x:c r="L81" s="38"/>
      <x:c r="M81" s="38"/>
      <x:c r="N81" s="38"/>
      <x:c r="O81" s="38"/>
      <x:c r="P81" s="38"/>
      <x:c r="Q81" s="38"/>
      <x:c r="R81" s="38"/>
      <x:c r="S81" s="38"/>
      <x:c r="T81" s="38"/>
      <x:c r="U81" s="38"/>
      <x:c r="V81" s="38"/>
      <x:c r="W81" s="34"/>
      <x:c r="X81" s="36"/>
      <x:c r="Y81" s="40"/>
      <x:c r="Z81" s="40"/>
      <x:c r="AA81" s="38"/>
      <x:c r="AB81" s="41"/>
      <x:c r="AC81" s="38"/>
    </x:row>
    <x:row r="82">
      <x:c r="A82" s="22"/>
      <x:c r="B82" s="22"/>
      <x:c r="C82" s="34"/>
      <x:c r="D82" s="34"/>
      <x:c r="E82" s="22"/>
      <x:c r="F82" s="22"/>
      <x:c r="G82" s="22"/>
      <x:c r="H82" s="36"/>
      <x:c r="I82" s="38"/>
      <x:c r="J82" s="38"/>
      <x:c r="K82" s="38"/>
      <x:c r="L82" s="38"/>
      <x:c r="M82" s="38"/>
      <x:c r="N82" s="38"/>
      <x:c r="O82" s="38"/>
      <x:c r="P82" s="38"/>
      <x:c r="Q82" s="38"/>
      <x:c r="R82" s="38"/>
      <x:c r="S82" s="38"/>
      <x:c r="T82" s="38"/>
      <x:c r="U82" s="38"/>
      <x:c r="V82" s="38"/>
      <x:c r="W82" s="34"/>
      <x:c r="X82" s="36"/>
      <x:c r="Y82" s="40"/>
      <x:c r="Z82" s="40"/>
      <x:c r="AA82" s="38"/>
      <x:c r="AB82" s="41"/>
      <x:c r="AC82" s="38"/>
    </x:row>
    <x:row r="83">
      <x:c r="A83" s="43" t="str">
        <x:v>注塑工序</x:v>
      </x:c>
      <x:c r="B83" s="43"/>
      <x:c r="C83" s="44"/>
      <x:c r="D83" s="44"/>
      <x:c r="E83" s="43"/>
      <x:c r="F83" s="43"/>
      <x:c r="G83" s="43"/>
      <x:c r="H83" s="45"/>
      <x:c r="I83" s="46"/>
      <x:c r="J83" s="46"/>
      <x:c r="K83" s="46"/>
      <x:c r="L83" s="46"/>
      <x:c r="M83" s="46"/>
      <x:c r="N83" s="46"/>
      <x:c r="O83" s="46"/>
      <x:c r="P83" s="46"/>
      <x:c r="Q83" s="46"/>
      <x:c r="R83" s="46"/>
      <x:c r="S83" s="46"/>
      <x:c r="T83" s="46"/>
      <x:c r="U83" s="46"/>
      <x:c r="V83" s="46"/>
      <x:c r="W83" s="44"/>
      <x:c r="X83" s="45"/>
      <x:c r="Y83" s="47"/>
      <x:c r="Z83" s="47"/>
      <x:c r="AA83" s="46"/>
      <x:c r="AB83" s="48"/>
      <x:c r="AC83" s="46"/>
    </x:row>
    <x:row r="84">
      <x:c r="A84" s="22" t="str">
        <x:v>IM10</x:v>
      </x:c>
      <x:c r="B84" s="22" t="s">
        <x:v>433</x:v>
      </x:c>
      <x:c r="C84" s="34">
        <x:v>20</x:v>
      </x:c>
      <x:c r="D84" s="34" t="n">
        <x:f t="shared" ref="D84:D91" si="48">IFERROR(60*60/C84,0)</x:f>
        <x:v>180</x:v>
      </x:c>
      <x:c r="E84" s="22">
        <x:v>10</x:v>
      </x:c>
      <x:c r="F84" s="22">
        <x:v>22</x:v>
      </x:c>
      <x:c r="G84" s="22">
        <x:v>300</x:v>
      </x:c>
      <x:c r="H84" s="36">
        <x:v>450000</x:v>
      </x:c>
      <x:c r="I84" s="38" t="n">
        <x:f t="shared" ref="I84:I91" si="49">IFERROR(H84/E84/F84/G84/D84,0)</x:f>
        <x:v>0.03787878787878788</x:v>
      </x:c>
      <x:c r="J84" s="38">
        <x:v>0.62777055000000004</x:v>
      </x:c>
      <x:c r="K84" s="38">
        <x:v>18</x:v>
      </x:c>
      <x:c r="L84" s="38" t="n">
        <x:f t="shared" ref="L84:L91" si="50">IFERROR(J84*K84/D84,0)</x:f>
        <x:v>0.062777055</x:v>
      </x:c>
      <x:c r="M84" s="38">
        <x:v>3.7</x:v>
      </x:c>
      <x:c r="N84" s="38">
        <x:v>0</x:v>
      </x:c>
      <x:c r="O84" s="38" t="n">
        <x:f t="shared" ref="O84:O91" si="51">IFERROR(N84*M84/D84,0)</x:f>
        <x:v>0</x:v>
      </x:c>
      <x:c r="P84" s="38" t="n">
        <x:f t="shared" ref="P84:P91" si="52">O84+L84</x:f>
        <x:v>0.062777055</x:v>
      </x:c>
      <x:c r="Q84" s="38">
        <x:v>0</x:v>
      </x:c>
      <x:c r="R84" s="38">
        <x:v>0</x:v>
      </x:c>
      <x:c r="S84" s="38">
        <x:v>1</x:v>
      </x:c>
      <x:c r="T84" s="38">
        <x:v>0</x:v>
      </x:c>
      <x:c r="U84" s="38">
        <x:v>1</x:v>
      </x:c>
      <x:c r="V84" s="38" t="n">
        <x:f t="shared" ref="V84:V91" si="53">IFERROR((Q84+R84+S84+T84+U84)/D84,0)</x:f>
        <x:v>0.011111111111111112</x:v>
      </x:c>
      <x:c r="W84" s="34">
        <x:v>1</x:v>
      </x:c>
      <x:c r="X84" s="36">
        <x:v>6000</x:v>
      </x:c>
      <x:c r="Y84" s="40">
        <x:v>11</x:v>
      </x:c>
      <x:c r="Z84" s="40">
        <x:v>25</x:v>
      </x:c>
      <x:c r="AA84" s="38" t="n">
        <x:f t="shared" ref="AA84:AA91" si="54">IFERROR((W84*X84)/Y84/Z84/D84,0)</x:f>
        <x:v>0.12121212121212123</x:v>
      </x:c>
      <x:c r="AB84" s="41">
        <x:v>0.98499999999999999</x:v>
      </x:c>
      <x:c r="AC84" s="38" t="n">
        <x:f t="shared" ref="AC84:AC91" si="55">IFERROR((I84+P84+V84+AA84)/AB84,0)</x:f>
        <x:v>0.23652697990052815</x:v>
      </x:c>
    </x:row>
    <x:row r="85">
      <x:c r="A85" s="22" t="str">
        <x:v>IM20</x:v>
      </x:c>
      <x:c r="B85" s="22" t="s">
        <x:v>434</x:v>
      </x:c>
      <x:c r="C85" s="34">
        <x:v>30</x:v>
      </x:c>
      <x:c r="D85" s="34">
        <x:f t="shared" si="48"/>
        <x:v>120</x:v>
      </x:c>
      <x:c r="E85" s="22">
        <x:v>10</x:v>
      </x:c>
      <x:c r="F85" s="22">
        <x:v>22</x:v>
      </x:c>
      <x:c r="G85" s="22">
        <x:v>300</x:v>
      </x:c>
      <x:c r="H85" s="36">
        <x:v>700000</x:v>
      </x:c>
      <x:c r="I85" s="38">
        <x:f t="shared" si="49"/>
        <x:v>8.8383838383838398E-2</x:v>
      </x:c>
      <x:c r="J85" s="38">
        <x:v>0.62777055000000004</x:v>
      </x:c>
      <x:c r="K85" s="38">
        <x:v>28</x:v>
      </x:c>
      <x:c r="L85" s="38">
        <x:f t="shared" si="50"/>
        <x:v>0.146479795</x:v>
      </x:c>
      <x:c r="M85" s="38">
        <x:v>3.7</x:v>
      </x:c>
      <x:c r="N85" s="38">
        <x:v>0</x:v>
      </x:c>
      <x:c r="O85" s="38">
        <x:f t="shared" si="51"/>
        <x:v>0</x:v>
      </x:c>
      <x:c r="P85" s="38">
        <x:f t="shared" si="52"/>
        <x:v>0.146479795</x:v>
      </x:c>
      <x:c r="Q85" s="38">
        <x:v>0</x:v>
      </x:c>
      <x:c r="R85" s="38">
        <x:v>0</x:v>
      </x:c>
      <x:c r="S85" s="38">
        <x:v>1</x:v>
      </x:c>
      <x:c r="T85" s="38">
        <x:v>0</x:v>
      </x:c>
      <x:c r="U85" s="38">
        <x:v>1</x:v>
      </x:c>
      <x:c r="V85" s="38">
        <x:f t="shared" si="53"/>
        <x:v>1.6666666666666666E-2</x:v>
      </x:c>
      <x:c r="W85" s="34">
        <x:v>1</x:v>
      </x:c>
      <x:c r="X85" s="36">
        <x:v>6000</x:v>
      </x:c>
      <x:c r="Y85" s="40">
        <x:v>11</x:v>
      </x:c>
      <x:c r="Z85" s="40">
        <x:v>25</x:v>
      </x:c>
      <x:c r="AA85" s="38">
        <x:f t="shared" si="54"/>
        <x:v>0.18181818181818182</x:v>
      </x:c>
      <x:c r="AB85" s="41">
        <x:v>0.98499999999999999</x:v>
      </x:c>
      <x:c r="AC85" s="38">
        <x:f t="shared" si="55"/>
        <x:v>0.43994769732861616</x:v>
      </x:c>
    </x:row>
    <x:row r="86">
      <x:c r="A86" s="22" t="str">
        <x:v>IM30</x:v>
      </x:c>
      <x:c r="B86" s="22" t="s">
        <x:v>435</x:v>
      </x:c>
      <x:c r="C86" s="34">
        <x:v>40</x:v>
      </x:c>
      <x:c r="D86" s="34">
        <x:f t="shared" si="48"/>
        <x:v>90</x:v>
      </x:c>
      <x:c r="E86" s="22">
        <x:v>10</x:v>
      </x:c>
      <x:c r="F86" s="22">
        <x:v>22</x:v>
      </x:c>
      <x:c r="G86" s="22">
        <x:v>300</x:v>
      </x:c>
      <x:c r="H86" s="36">
        <x:v>1100000</x:v>
      </x:c>
      <x:c r="I86" s="38">
        <x:f t="shared" si="49"/>
        <x:v>0.1851851851851852</x:v>
      </x:c>
      <x:c r="J86" s="38">
        <x:v>0.62777055000000004</x:v>
      </x:c>
      <x:c r="K86" s="38">
        <x:v>45</x:v>
      </x:c>
      <x:c r="L86" s="38">
        <x:f t="shared" si="50"/>
        <x:v>0.31388527500000002</x:v>
      </x:c>
      <x:c r="M86" s="38">
        <x:v>3.7</x:v>
      </x:c>
      <x:c r="N86" s="38">
        <x:v>0</x:v>
      </x:c>
      <x:c r="O86" s="38">
        <x:f t="shared" si="51"/>
        <x:v>0</x:v>
      </x:c>
      <x:c r="P86" s="38">
        <x:f t="shared" si="52"/>
        <x:v>0.31388527500000002</x:v>
      </x:c>
      <x:c r="Q86" s="38">
        <x:v>0</x:v>
      </x:c>
      <x:c r="R86" s="38">
        <x:v>0</x:v>
      </x:c>
      <x:c r="S86" s="38">
        <x:v>1</x:v>
      </x:c>
      <x:c r="T86" s="38">
        <x:v>0</x:v>
      </x:c>
      <x:c r="U86" s="38">
        <x:v>1</x:v>
      </x:c>
      <x:c r="V86" s="38">
        <x:f t="shared" si="53"/>
        <x:v>2.2222222222222223E-2</x:v>
      </x:c>
      <x:c r="W86" s="34">
        <x:v>1</x:v>
      </x:c>
      <x:c r="X86" s="36">
        <x:v>6000</x:v>
      </x:c>
      <x:c r="Y86" s="40">
        <x:v>11</x:v>
      </x:c>
      <x:c r="Z86" s="40">
        <x:v>25</x:v>
      </x:c>
      <x:c r="AA86" s="38">
        <x:f t="shared" si="54"/>
        <x:v>0.24242424242424246</x:v>
      </x:c>
      <x:c r="AB86" s="41">
        <x:v>0.98</x:v>
      </x:c>
      <x:c r="AC86" s="38">
        <x:f t="shared" si="55"/>
        <x:v>0.77930298452209168</x:v>
      </x:c>
    </x:row>
    <x:row r="87">
      <x:c r="A87" s="22" t="str">
        <x:v>IM40</x:v>
      </x:c>
      <x:c r="B87" s="22" t="s">
        <x:v>436</x:v>
      </x:c>
      <x:c r="C87" s="34">
        <x:v>55</x:v>
      </x:c>
      <x:c r="D87" s="34">
        <x:f t="shared" si="48"/>
        <x:v>65.454545454545453</x:v>
      </x:c>
      <x:c r="E87" s="22">
        <x:v>10</x:v>
      </x:c>
      <x:c r="F87" s="22">
        <x:v>22</x:v>
      </x:c>
      <x:c r="G87" s="22">
        <x:v>300</x:v>
      </x:c>
      <x:c r="H87" s="36">
        <x:v>1800000</x:v>
      </x:c>
      <x:c r="I87" s="38">
        <x:f t="shared" si="49"/>
        <x:v>0.41666666666666669</x:v>
      </x:c>
      <x:c r="J87" s="38">
        <x:v>0.62777055000000004</x:v>
      </x:c>
      <x:c r="K87" s="38">
        <x:v>70</x:v>
      </x:c>
      <x:c r="L87" s="38">
        <x:f t="shared" si="50"/>
        <x:v>0.67136572708333342</x:v>
      </x:c>
      <x:c r="M87" s="38">
        <x:v>3.7</x:v>
      </x:c>
      <x:c r="N87" s="38">
        <x:v>0</x:v>
      </x:c>
      <x:c r="O87" s="38">
        <x:f t="shared" si="51"/>
        <x:v>0</x:v>
      </x:c>
      <x:c r="P87" s="38">
        <x:f t="shared" si="52"/>
        <x:v>0.67136572708333342</x:v>
      </x:c>
      <x:c r="Q87" s="38">
        <x:v>0</x:v>
      </x:c>
      <x:c r="R87" s="38">
        <x:v>0</x:v>
      </x:c>
      <x:c r="S87" s="38">
        <x:v>1</x:v>
      </x:c>
      <x:c r="T87" s="38">
        <x:v>0</x:v>
      </x:c>
      <x:c r="U87" s="38">
        <x:v>1</x:v>
      </x:c>
      <x:c r="V87" s="38">
        <x:f t="shared" si="53"/>
        <x:v>3.0555555555555555E-2</x:v>
      </x:c>
      <x:c r="W87" s="34">
        <x:v>2</x:v>
      </x:c>
      <x:c r="X87" s="36">
        <x:v>6000</x:v>
      </x:c>
      <x:c r="Y87" s="40">
        <x:v>11</x:v>
      </x:c>
      <x:c r="Z87" s="40">
        <x:v>25</x:v>
      </x:c>
      <x:c r="AA87" s="38">
        <x:f t="shared" si="54"/>
        <x:v>0.66666666666666674</x:v>
      </x:c>
      <x:c r="AB87" s="41">
        <x:v>0.98</x:v>
      </x:c>
      <x:c r="AC87" s="38">
        <x:f t="shared" si="55"/>
        <x:v>1.8216883836451248</x:v>
      </x:c>
    </x:row>
    <x:row r="88">
      <x:c r="A88" s="22" t="str">
        <x:v>IM50</x:v>
      </x:c>
      <x:c r="B88" s="22" t="s">
        <x:v>437</x:v>
      </x:c>
      <x:c r="C88" s="34">
        <x:v>70</x:v>
      </x:c>
      <x:c r="D88" s="34">
        <x:f t="shared" si="48"/>
        <x:v>51.428571428571431</x:v>
      </x:c>
      <x:c r="E88" s="22">
        <x:v>10</x:v>
      </x:c>
      <x:c r="F88" s="22">
        <x:v>22</x:v>
      </x:c>
      <x:c r="G88" s="22">
        <x:v>300</x:v>
      </x:c>
      <x:c r="H88" s="36">
        <x:v>3200000</x:v>
      </x:c>
      <x:c r="I88" s="38">
        <x:f t="shared" si="49"/>
        <x:v>0.94276094276094269</x:v>
      </x:c>
      <x:c r="J88" s="38">
        <x:v>0.62777055000000004</x:v>
      </x:c>
      <x:c r="K88" s="38">
        <x:v>110</x:v>
      </x:c>
      <x:c r="L88" s="38">
        <x:f t="shared" si="50"/>
        <x:v>1.3427314541666666</x:v>
      </x:c>
      <x:c r="M88" s="38">
        <x:v>3.7</x:v>
      </x:c>
      <x:c r="N88" s="38">
        <x:v>0</x:v>
      </x:c>
      <x:c r="O88" s="38">
        <x:f t="shared" si="51"/>
        <x:v>0</x:v>
      </x:c>
      <x:c r="P88" s="38">
        <x:f t="shared" si="52"/>
        <x:v>1.3427314541666666</x:v>
      </x:c>
      <x:c r="Q88" s="38">
        <x:v>0</x:v>
      </x:c>
      <x:c r="R88" s="38">
        <x:v>0</x:v>
      </x:c>
      <x:c r="S88" s="38">
        <x:v>1</x:v>
      </x:c>
      <x:c r="T88" s="38">
        <x:v>0</x:v>
      </x:c>
      <x:c r="U88" s="38">
        <x:v>1</x:v>
      </x:c>
      <x:c r="V88" s="38">
        <x:f t="shared" si="53"/>
        <x:v>3.888888888888889E-2</x:v>
      </x:c>
      <x:c r="W88" s="34">
        <x:v>2</x:v>
      </x:c>
      <x:c r="X88" s="36">
        <x:v>6000</x:v>
      </x:c>
      <x:c r="Y88" s="40">
        <x:v>11</x:v>
      </x:c>
      <x:c r="Z88" s="40">
        <x:v>25</x:v>
      </x:c>
      <x:c r="AA88" s="38">
        <x:f t="shared" si="54"/>
        <x:v>0.84848484848484851</x:v>
      </x:c>
      <x:c r="AB88" s="41">
        <x:v>0.97499999999999998</x:v>
      </x:c>
      <x:c r="AC88" s="38">
        <x:f t="shared" si="55"/>
        <x:v>3.2542216762065097</x:v>
      </x:c>
    </x:row>
    <x:row r="89">
      <x:c r="A89" s="22" t="str">
        <x:v>IM60</x:v>
      </x:c>
      <x:c r="B89" s="22" t="s">
        <x:v>438</x:v>
      </x:c>
      <x:c r="C89" s="34">
        <x:v>50</x:v>
      </x:c>
      <x:c r="D89" s="34">
        <x:f t="shared" si="48"/>
        <x:v>72</x:v>
      </x:c>
      <x:c r="E89" s="22">
        <x:v>10</x:v>
      </x:c>
      <x:c r="F89" s="22">
        <x:v>22</x:v>
      </x:c>
      <x:c r="G89" s="22">
        <x:v>300</x:v>
      </x:c>
      <x:c r="H89" s="36">
        <x:v>2600000</x:v>
      </x:c>
      <x:c r="I89" s="38">
        <x:f t="shared" si="49"/>
        <x:v>0.54713804713804715</x:v>
      </x:c>
      <x:c r="J89" s="38">
        <x:v>0.62777055000000004</x:v>
      </x:c>
      <x:c r="K89" s="38">
        <x:v>75</x:v>
      </x:c>
      <x:c r="L89" s="38">
        <x:f t="shared" si="50"/>
        <x:v>0.65392765625000004</x:v>
      </x:c>
      <x:c r="M89" s="38">
        <x:v>3.7</x:v>
      </x:c>
      <x:c r="N89" s="38">
        <x:v>0</x:v>
      </x:c>
      <x:c r="O89" s="38">
        <x:f t="shared" si="51"/>
        <x:v>0</x:v>
      </x:c>
      <x:c r="P89" s="38">
        <x:f t="shared" si="52"/>
        <x:v>0.65392765625000004</x:v>
      </x:c>
      <x:c r="Q89" s="38">
        <x:v>0</x:v>
      </x:c>
      <x:c r="R89" s="38">
        <x:v>0</x:v>
      </x:c>
      <x:c r="S89" s="38">
        <x:v>1</x:v>
      </x:c>
      <x:c r="T89" s="38">
        <x:v>0</x:v>
      </x:c>
      <x:c r="U89" s="38">
        <x:v>1</x:v>
      </x:c>
      <x:c r="V89" s="38">
        <x:f t="shared" si="53"/>
        <x:v>2.7777777777777776E-2</x:v>
      </x:c>
      <x:c r="W89" s="34">
        <x:v>2</x:v>
      </x:c>
      <x:c r="X89" s="36">
        <x:v>6000</x:v>
      </x:c>
      <x:c r="Y89" s="40">
        <x:v>11</x:v>
      </x:c>
      <x:c r="Z89" s="40">
        <x:v>25</x:v>
      </x:c>
      <x:c r="AA89" s="38">
        <x:f t="shared" si="54"/>
        <x:v>0.60606060606060608</x:v>
      </x:c>
      <x:c r="AB89" s="41">
        <x:v>0.97</x:v>
      </x:c>
      <x:c r="AC89" s="38">
        <x:f t="shared" si="55"/>
        <x:v>1.8916536981715781</x:v>
      </x:c>
    </x:row>
    <x:row r="90">
      <x:c r="A90" s="22" t="str">
        <x:v>IM70</x:v>
      </x:c>
      <x:c r="B90" s="22" t="s">
        <x:v>439</x:v>
      </x:c>
      <x:c r="C90" s="34">
        <x:v>45</x:v>
      </x:c>
      <x:c r="D90" s="34">
        <x:f t="shared" si="48"/>
        <x:v>80</x:v>
      </x:c>
      <x:c r="E90" s="22">
        <x:v>10</x:v>
      </x:c>
      <x:c r="F90" s="22">
        <x:v>22</x:v>
      </x:c>
      <x:c r="G90" s="22">
        <x:v>300</x:v>
      </x:c>
      <x:c r="H90" s="36">
        <x:v>1100000</x:v>
      </x:c>
      <x:c r="I90" s="38">
        <x:f t="shared" si="49"/>
        <x:v>0.20833333333333334</x:v>
      </x:c>
      <x:c r="J90" s="38">
        <x:v>0.62777055000000004</x:v>
      </x:c>
      <x:c r="K90" s="38">
        <x:v>45</x:v>
      </x:c>
      <x:c r="L90" s="38">
        <x:f t="shared" si="50"/>
        <x:v>0.35312093437500003</x:v>
      </x:c>
      <x:c r="M90" s="38">
        <x:v>3.7</x:v>
      </x:c>
      <x:c r="N90" s="38">
        <x:v>0</x:v>
      </x:c>
      <x:c r="O90" s="38">
        <x:f t="shared" si="51"/>
        <x:v>0</x:v>
      </x:c>
      <x:c r="P90" s="38">
        <x:f t="shared" si="52"/>
        <x:v>0.35312093437500003</x:v>
      </x:c>
      <x:c r="Q90" s="38">
        <x:v>0</x:v>
      </x:c>
      <x:c r="R90" s="38">
        <x:v>0</x:v>
      </x:c>
      <x:c r="S90" s="38">
        <x:v>1</x:v>
      </x:c>
      <x:c r="T90" s="38">
        <x:v>0</x:v>
      </x:c>
      <x:c r="U90" s="38">
        <x:v>1</x:v>
      </x:c>
      <x:c r="V90" s="38">
        <x:f t="shared" si="53"/>
        <x:v>2.5000000000000001E-2</x:v>
      </x:c>
      <x:c r="W90" s="34">
        <x:v>2</x:v>
      </x:c>
      <x:c r="X90" s="36">
        <x:v>6000</x:v>
      </x:c>
      <x:c r="Y90" s="40">
        <x:v>11</x:v>
      </x:c>
      <x:c r="Z90" s="40">
        <x:v>25</x:v>
      </x:c>
      <x:c r="AA90" s="38">
        <x:f t="shared" si="54"/>
        <x:v>0.54545454545454553</x:v>
      </x:c>
      <x:c r="AB90" s="41">
        <x:v>0.97</x:v>
      </x:c>
      <x:c r="AC90" s="38">
        <x:f t="shared" si="55"/>
        <x:v>1.1669163022297722</x:v>
      </x:c>
    </x:row>
    <x:row r="91">
      <x:c r="A91" s="22" t="str">
        <x:v>IM80</x:v>
      </x:c>
      <x:c r="B91" s="22" t="s">
        <x:v>440</x:v>
      </x:c>
      <x:c r="C91" s="34">
        <x:v>3</x:v>
      </x:c>
      <x:c r="D91" s="34">
        <x:f t="shared" si="48"/>
        <x:v>1200</x:v>
      </x:c>
      <x:c r="E91" s="22">
        <x:v>8</x:v>
      </x:c>
      <x:c r="F91" s="22">
        <x:v>22</x:v>
      </x:c>
      <x:c r="G91" s="22">
        <x:v>300</x:v>
      </x:c>
      <x:c r="H91" s="36">
        <x:v>120000</x:v>
      </x:c>
      <x:c r="I91" s="38">
        <x:f t="shared" si="49"/>
        <x:v>1.8939393939393942E-3</x:v>
      </x:c>
      <x:c r="J91" s="38">
        <x:v>0.62777055000000004</x:v>
      </x:c>
      <x:c r="K91" s="38">
        <x:v>12</x:v>
      </x:c>
      <x:c r="L91" s="38">
        <x:f t="shared" si="50"/>
        <x:v>6.2777055000000003E-3</x:v>
      </x:c>
      <x:c r="M91" s="38">
        <x:v>3.7</x:v>
      </x:c>
      <x:c r="N91" s="38">
        <x:v>0</x:v>
      </x:c>
      <x:c r="O91" s="38">
        <x:f t="shared" si="51"/>
        <x:v>0</x:v>
      </x:c>
      <x:c r="P91" s="38">
        <x:f t="shared" si="52"/>
        <x:v>6.2777055000000003E-3</x:v>
      </x:c>
      <x:c r="Q91" s="38">
        <x:v>0</x:v>
      </x:c>
      <x:c r="R91" s="38">
        <x:v>0</x:v>
      </x:c>
      <x:c r="S91" s="38">
        <x:v>1</x:v>
      </x:c>
      <x:c r="T91" s="38">
        <x:v>0</x:v>
      </x:c>
      <x:c r="U91" s="38">
        <x:v>1</x:v>
      </x:c>
      <x:c r="V91" s="38">
        <x:f t="shared" si="53"/>
        <x:v>1.6666666666666668E-3</x:v>
      </x:c>
      <x:c r="W91" s="34">
        <x:v>0.5</x:v>
      </x:c>
      <x:c r="X91" s="36">
        <x:v>6000</x:v>
      </x:c>
      <x:c r="Y91" s="40">
        <x:v>11</x:v>
      </x:c>
      <x:c r="Z91" s="40">
        <x:v>25</x:v>
      </x:c>
      <x:c r="AA91" s="38">
        <x:f t="shared" si="54"/>
        <x:v>9.0909090909090922E-3</x:v>
      </x:c>
      <x:c r="AB91" s="41">
        <x:v>0.995</x:v>
      </x:c>
      <x:c r="AC91" s="38">
        <x:f t="shared" si="55"/>
        <x:v>1.9024342363331812E-2</x:v>
      </x:c>
    </x:row>
    <x:row r="92">
      <x:c r="A92" s="22"/>
      <x:c r="B92" s="22"/>
      <x:c r="C92" s="34"/>
      <x:c r="D92" s="34"/>
      <x:c r="E92" s="22"/>
      <x:c r="F92" s="22"/>
      <x:c r="G92" s="22"/>
      <x:c r="H92" s="36"/>
      <x:c r="I92" s="38"/>
      <x:c r="J92" s="38"/>
      <x:c r="K92" s="38"/>
      <x:c r="L92" s="38"/>
      <x:c r="M92" s="38"/>
      <x:c r="N92" s="38"/>
      <x:c r="O92" s="38"/>
      <x:c r="P92" s="38"/>
      <x:c r="Q92" s="38"/>
      <x:c r="R92" s="38"/>
      <x:c r="S92" s="38"/>
      <x:c r="T92" s="38"/>
      <x:c r="U92" s="38"/>
      <x:c r="V92" s="38"/>
      <x:c r="W92" s="34"/>
      <x:c r="X92" s="36"/>
      <x:c r="Y92" s="40"/>
      <x:c r="Z92" s="40"/>
      <x:c r="AA92" s="38"/>
      <x:c r="AB92" s="41"/>
      <x:c r="AC92" s="38"/>
    </x:row>
    <x:row r="93">
      <x:c r="A93" s="22"/>
      <x:c r="B93" s="22"/>
      <x:c r="C93" s="34"/>
      <x:c r="D93" s="34"/>
      <x:c r="E93" s="22"/>
      <x:c r="F93" s="22"/>
      <x:c r="G93" s="22"/>
      <x:c r="H93" s="36"/>
      <x:c r="I93" s="38"/>
      <x:c r="J93" s="38"/>
      <x:c r="K93" s="38"/>
      <x:c r="L93" s="38"/>
      <x:c r="M93" s="38"/>
      <x:c r="N93" s="38"/>
      <x:c r="O93" s="38"/>
      <x:c r="P93" s="38"/>
      <x:c r="Q93" s="38"/>
      <x:c r="R93" s="38"/>
      <x:c r="S93" s="38"/>
      <x:c r="T93" s="38"/>
      <x:c r="U93" s="38"/>
      <x:c r="V93" s="38"/>
      <x:c r="W93" s="34"/>
      <x:c r="X93" s="36"/>
      <x:c r="Y93" s="40"/>
      <x:c r="Z93" s="40"/>
      <x:c r="AA93" s="38"/>
      <x:c r="AB93" s="41"/>
      <x:c r="AC93" s="38"/>
    </x:row>
    <x:row r="94">
      <x:c r="A94" s="22"/>
      <x:c r="B94" s="22"/>
      <x:c r="C94" s="34"/>
      <x:c r="D94" s="34"/>
      <x:c r="E94" s="22"/>
      <x:c r="F94" s="22"/>
      <x:c r="G94" s="22"/>
      <x:c r="H94" s="36"/>
      <x:c r="I94" s="38"/>
      <x:c r="J94" s="38"/>
      <x:c r="K94" s="38"/>
      <x:c r="L94" s="38"/>
      <x:c r="M94" s="38"/>
      <x:c r="N94" s="38"/>
      <x:c r="O94" s="38"/>
      <x:c r="P94" s="38"/>
      <x:c r="Q94" s="38"/>
      <x:c r="R94" s="38"/>
      <x:c r="S94" s="38"/>
      <x:c r="T94" s="38"/>
      <x:c r="U94" s="38"/>
      <x:c r="V94" s="38"/>
      <x:c r="W94" s="34"/>
      <x:c r="X94" s="36"/>
      <x:c r="Y94" s="40"/>
      <x:c r="Z94" s="40"/>
      <x:c r="AA94" s="38"/>
      <x:c r="AB94" s="41"/>
      <x:c r="AC94" s="38"/>
    </x:row>
    <x:row r="95">
      <x:c r="A95" s="22"/>
      <x:c r="B95" s="22"/>
      <x:c r="C95" s="34"/>
      <x:c r="D95" s="34"/>
      <x:c r="E95" s="22"/>
      <x:c r="F95" s="22"/>
      <x:c r="G95" s="22"/>
      <x:c r="H95" s="36"/>
      <x:c r="I95" s="38"/>
      <x:c r="J95" s="38"/>
      <x:c r="K95" s="38"/>
      <x:c r="L95" s="38"/>
      <x:c r="M95" s="38"/>
      <x:c r="N95" s="38"/>
      <x:c r="O95" s="38"/>
      <x:c r="P95" s="38"/>
      <x:c r="Q95" s="38"/>
      <x:c r="R95" s="38"/>
      <x:c r="S95" s="38"/>
      <x:c r="T95" s="38"/>
      <x:c r="U95" s="38"/>
      <x:c r="V95" s="38"/>
      <x:c r="W95" s="34"/>
      <x:c r="X95" s="36"/>
      <x:c r="Y95" s="40"/>
      <x:c r="Z95" s="40"/>
      <x:c r="AA95" s="38"/>
      <x:c r="AB95" s="41"/>
      <x:c r="AC95" s="38"/>
    </x:row>
    <x:row r="96">
      <x:c r="A96" s="22"/>
      <x:c r="B96" s="22"/>
      <x:c r="C96" s="34"/>
      <x:c r="D96" s="34"/>
      <x:c r="E96" s="22"/>
      <x:c r="F96" s="22"/>
      <x:c r="G96" s="22"/>
      <x:c r="H96" s="36"/>
      <x:c r="I96" s="38"/>
      <x:c r="J96" s="38"/>
      <x:c r="K96" s="38"/>
      <x:c r="L96" s="38"/>
      <x:c r="M96" s="38"/>
      <x:c r="N96" s="38"/>
      <x:c r="O96" s="38"/>
      <x:c r="P96" s="38"/>
      <x:c r="Q96" s="38"/>
      <x:c r="R96" s="38"/>
      <x:c r="S96" s="38"/>
      <x:c r="T96" s="38"/>
      <x:c r="U96" s="38"/>
      <x:c r="V96" s="38"/>
      <x:c r="W96" s="34"/>
      <x:c r="X96" s="36"/>
      <x:c r="Y96" s="40"/>
      <x:c r="Z96" s="40"/>
      <x:c r="AA96" s="38"/>
      <x:c r="AB96" s="41"/>
      <x:c r="AC96" s="38"/>
    </x:row>
    <x:row r="97">
      <x:c r="A97" s="22"/>
      <x:c r="B97" s="22"/>
      <x:c r="C97" s="34"/>
      <x:c r="D97" s="34"/>
      <x:c r="E97" s="22"/>
      <x:c r="F97" s="22"/>
      <x:c r="G97" s="22"/>
      <x:c r="H97" s="36"/>
      <x:c r="I97" s="38"/>
      <x:c r="J97" s="38"/>
      <x:c r="K97" s="38"/>
      <x:c r="L97" s="38"/>
      <x:c r="M97" s="38"/>
      <x:c r="N97" s="38"/>
      <x:c r="O97" s="38"/>
      <x:c r="P97" s="38"/>
      <x:c r="Q97" s="38"/>
      <x:c r="R97" s="38"/>
      <x:c r="S97" s="38"/>
      <x:c r="T97" s="38"/>
      <x:c r="U97" s="38"/>
      <x:c r="V97" s="38"/>
      <x:c r="W97" s="34"/>
      <x:c r="X97" s="36"/>
      <x:c r="Y97" s="40"/>
      <x:c r="Z97" s="40"/>
      <x:c r="AA97" s="38"/>
      <x:c r="AB97" s="41"/>
      <x:c r="AC97" s="38"/>
    </x:row>
    <x:row r="98">
      <x:c r="A98" s="22"/>
      <x:c r="B98" s="22"/>
      <x:c r="C98" s="34"/>
      <x:c r="D98" s="34"/>
      <x:c r="E98" s="22"/>
      <x:c r="F98" s="22"/>
      <x:c r="G98" s="22"/>
      <x:c r="H98" s="36"/>
      <x:c r="I98" s="38"/>
      <x:c r="J98" s="38"/>
      <x:c r="K98" s="38"/>
      <x:c r="L98" s="38"/>
      <x:c r="M98" s="38"/>
      <x:c r="N98" s="38"/>
      <x:c r="O98" s="38"/>
      <x:c r="P98" s="38"/>
      <x:c r="Q98" s="38"/>
      <x:c r="R98" s="38"/>
      <x:c r="S98" s="38"/>
      <x:c r="T98" s="38"/>
      <x:c r="U98" s="38"/>
      <x:c r="V98" s="38"/>
      <x:c r="W98" s="34"/>
      <x:c r="X98" s="36"/>
      <x:c r="Y98" s="40"/>
      <x:c r="Z98" s="40"/>
      <x:c r="AA98" s="38"/>
      <x:c r="AB98" s="41"/>
      <x:c r="AC98" s="38"/>
    </x:row>
    <x:row r="99">
      <x:c r="A99" s="22"/>
      <x:c r="B99" s="22"/>
      <x:c r="C99" s="34"/>
      <x:c r="D99" s="34"/>
      <x:c r="E99" s="22"/>
      <x:c r="F99" s="22"/>
      <x:c r="G99" s="22"/>
      <x:c r="H99" s="36"/>
      <x:c r="I99" s="38"/>
      <x:c r="J99" s="38"/>
      <x:c r="K99" s="38"/>
      <x:c r="L99" s="38"/>
      <x:c r="M99" s="38"/>
      <x:c r="N99" s="38"/>
      <x:c r="O99" s="38"/>
      <x:c r="P99" s="38"/>
      <x:c r="Q99" s="38"/>
      <x:c r="R99" s="38"/>
      <x:c r="S99" s="38"/>
      <x:c r="T99" s="38"/>
      <x:c r="U99" s="38"/>
      <x:c r="V99" s="38"/>
      <x:c r="W99" s="34"/>
      <x:c r="X99" s="36"/>
      <x:c r="Y99" s="40"/>
      <x:c r="Z99" s="40"/>
      <x:c r="AA99" s="38"/>
      <x:c r="AB99" s="41"/>
      <x:c r="AC99" s="38"/>
    </x:row>
    <x:row r="100">
      <x:c r="A100" s="22"/>
      <x:c r="B100" s="22"/>
      <x:c r="C100" s="34"/>
      <x:c r="D100" s="34"/>
      <x:c r="E100" s="22"/>
      <x:c r="F100" s="22"/>
      <x:c r="G100" s="22"/>
      <x:c r="H100" s="36"/>
      <x:c r="I100" s="38"/>
      <x:c r="J100" s="38"/>
      <x:c r="K100" s="38"/>
      <x:c r="L100" s="38"/>
      <x:c r="M100" s="38"/>
      <x:c r="N100" s="38"/>
      <x:c r="O100" s="38"/>
      <x:c r="P100" s="38"/>
      <x:c r="Q100" s="38"/>
      <x:c r="R100" s="38"/>
      <x:c r="S100" s="38"/>
      <x:c r="T100" s="38"/>
      <x:c r="U100" s="38"/>
      <x:c r="V100" s="38"/>
      <x:c r="W100" s="34"/>
      <x:c r="X100" s="36"/>
      <x:c r="Y100" s="40"/>
      <x:c r="Z100" s="40"/>
      <x:c r="AA100" s="38"/>
      <x:c r="AB100" s="41"/>
      <x:c r="AC100" s="38"/>
    </x:row>
    <x:row r="101">
      <x:c r="A101" s="22"/>
      <x:c r="B101" s="22"/>
      <x:c r="C101" s="34"/>
      <x:c r="D101" s="34"/>
      <x:c r="E101" s="22"/>
      <x:c r="F101" s="22"/>
      <x:c r="G101" s="22"/>
      <x:c r="H101" s="36"/>
      <x:c r="I101" s="38"/>
      <x:c r="J101" s="38"/>
      <x:c r="K101" s="38"/>
      <x:c r="L101" s="38"/>
      <x:c r="M101" s="38"/>
      <x:c r="N101" s="38"/>
      <x:c r="O101" s="38"/>
      <x:c r="P101" s="38"/>
      <x:c r="Q101" s="38"/>
      <x:c r="R101" s="38"/>
      <x:c r="S101" s="38"/>
      <x:c r="T101" s="38"/>
      <x:c r="U101" s="38"/>
      <x:c r="V101" s="38"/>
      <x:c r="W101" s="34"/>
      <x:c r="X101" s="36"/>
      <x:c r="Y101" s="40"/>
      <x:c r="Z101" s="40"/>
      <x:c r="AA101" s="38"/>
      <x:c r="AB101" s="41"/>
      <x:c r="AC101" s="38"/>
    </x:row>
    <x:row r="102">
      <x:c r="A102" s="22"/>
      <x:c r="B102" s="22"/>
      <x:c r="C102" s="34"/>
      <x:c r="D102" s="34"/>
      <x:c r="E102" s="22"/>
      <x:c r="F102" s="22"/>
      <x:c r="G102" s="22"/>
      <x:c r="H102" s="36"/>
      <x:c r="I102" s="38"/>
      <x:c r="J102" s="38"/>
      <x:c r="K102" s="38"/>
      <x:c r="L102" s="38"/>
      <x:c r="M102" s="38"/>
      <x:c r="N102" s="38"/>
      <x:c r="O102" s="38"/>
      <x:c r="P102" s="38"/>
      <x:c r="Q102" s="38"/>
      <x:c r="R102" s="38"/>
      <x:c r="S102" s="38"/>
      <x:c r="T102" s="38"/>
      <x:c r="U102" s="38"/>
      <x:c r="V102" s="38"/>
      <x:c r="W102" s="34"/>
      <x:c r="X102" s="36"/>
      <x:c r="Y102" s="40"/>
      <x:c r="Z102" s="40"/>
      <x:c r="AA102" s="38"/>
      <x:c r="AB102" s="41"/>
      <x:c r="AC102" s="38"/>
    </x:row>
    <x:row r="103">
      <x:c r="A103" s="43" t="str">
        <x:v>CNC工序</x:v>
      </x:c>
      <x:c r="B103" s="43"/>
      <x:c r="C103" s="44"/>
      <x:c r="D103" s="44"/>
      <x:c r="E103" s="43"/>
      <x:c r="F103" s="43"/>
      <x:c r="G103" s="43"/>
      <x:c r="H103" s="45"/>
      <x:c r="I103" s="46"/>
      <x:c r="J103" s="46"/>
      <x:c r="K103" s="46"/>
      <x:c r="L103" s="46"/>
      <x:c r="M103" s="46"/>
      <x:c r="N103" s="46"/>
      <x:c r="O103" s="46"/>
      <x:c r="P103" s="46"/>
      <x:c r="Q103" s="46"/>
      <x:c r="R103" s="46"/>
      <x:c r="S103" s="46"/>
      <x:c r="T103" s="46"/>
      <x:c r="U103" s="46"/>
      <x:c r="V103" s="46"/>
      <x:c r="W103" s="44"/>
      <x:c r="X103" s="45"/>
      <x:c r="Y103" s="47"/>
      <x:c r="Z103" s="47"/>
      <x:c r="AA103" s="46"/>
      <x:c r="AB103" s="48"/>
      <x:c r="AC103" s="46"/>
    </x:row>
    <x:row r="104">
      <x:c r="A104" s="22" t="str">
        <x:v>CN10</x:v>
      </x:c>
      <x:c r="B104" s="22" t="s">
        <x:v>441</x:v>
      </x:c>
      <x:c r="C104" s="34">
        <x:v>120</x:v>
      </x:c>
      <x:c r="D104" s="34" t="n">
        <x:f t="shared" ref="D104:D110" si="56">IFERROR(60*60/C104,0)</x:f>
        <x:v>30</x:v>
      </x:c>
      <x:c r="E104" s="22">
        <x:v>8</x:v>
      </x:c>
      <x:c r="F104" s="22">
        <x:v>22</x:v>
      </x:c>
      <x:c r="G104" s="22">
        <x:v>300</x:v>
      </x:c>
      <x:c r="H104" s="36">
        <x:v>650000</x:v>
      </x:c>
      <x:c r="I104" s="38" t="n">
        <x:f t="shared" ref="I104:I110" si="57">IFERROR(H104/E104/F104/G104/D104,0)</x:f>
        <x:v>0.41035353535353536</x:v>
      </x:c>
      <x:c r="J104" s="38">
        <x:v>0.62777055000000004</x:v>
      </x:c>
      <x:c r="K104" s="38">
        <x:v>12</x:v>
      </x:c>
      <x:c r="L104" s="38" t="n">
        <x:f t="shared" ref="L104:L110" si="58">IFERROR(J104*K104/D104,0)</x:f>
        <x:v>0.25110822</x:v>
      </x:c>
      <x:c r="M104" s="38">
        <x:v>3.7</x:v>
      </x:c>
      <x:c r="N104" s="38">
        <x:v>0</x:v>
      </x:c>
      <x:c r="O104" s="38" t="n">
        <x:f t="shared" ref="O104:O110" si="59">IFERROR(N104*M104/D104,0)</x:f>
        <x:v>0</x:v>
      </x:c>
      <x:c r="P104" s="38" t="n">
        <x:f t="shared" ref="P104:P110" si="60">O104+L104</x:f>
        <x:v>0.25110822</x:v>
      </x:c>
      <x:c r="Q104" s="38">
        <x:v>1</x:v>
      </x:c>
      <x:c r="R104" s="38">
        <x:v>5</x:v>
      </x:c>
      <x:c r="S104" s="38">
        <x:v>1.5</x:v>
      </x:c>
      <x:c r="T104" s="38">
        <x:v>8</x:v>
      </x:c>
      <x:c r="U104" s="38">
        <x:v>1</x:v>
      </x:c>
      <x:c r="V104" s="38" t="n">
        <x:f t="shared" ref="V104:V110" si="61">IFERROR((Q104+R104+S104+T104+U104)/D104,0)</x:f>
        <x:v>0.55</x:v>
      </x:c>
      <x:c r="W104" s="34">
        <x:v>1</x:v>
      </x:c>
      <x:c r="X104" s="36">
        <x:v>6000</x:v>
      </x:c>
      <x:c r="Y104" s="40">
        <x:v>11</x:v>
      </x:c>
      <x:c r="Z104" s="40">
        <x:v>25</x:v>
      </x:c>
      <x:c r="AA104" s="38" t="n">
        <x:f t="shared" ref="AA104:AA110" si="62">IFERROR((W104*X104)/Y104/Z104/D104,0)</x:f>
        <x:v>0.7272727272727273</x:v>
      </x:c>
      <x:c r="AB104" s="41">
        <x:v>0.98</x:v>
      </x:c>
      <x:c r="AC104" s="38" t="n">
        <x:f t="shared" ref="AC104:AC110" si="63">IFERROR((I104+P104+V104+AA104)/AB104,0)</x:f>
        <x:v>1.9783004924757783</x:v>
      </x:c>
    </x:row>
    <x:row r="105">
      <x:c r="A105" s="22" t="str">
        <x:v>CN20</x:v>
      </x:c>
      <x:c r="B105" s="22" t="s">
        <x:v>442</x:v>
      </x:c>
      <x:c r="C105" s="34">
        <x:v>150</x:v>
      </x:c>
      <x:c r="D105" s="34">
        <x:f t="shared" si="56"/>
        <x:v>24</x:v>
      </x:c>
      <x:c r="E105" s="22">
        <x:v>8</x:v>
      </x:c>
      <x:c r="F105" s="22">
        <x:v>22</x:v>
      </x:c>
      <x:c r="G105" s="22">
        <x:v>300</x:v>
      </x:c>
      <x:c r="H105" s="36">
        <x:v>950000</x:v>
      </x:c>
      <x:c r="I105" s="38">
        <x:f t="shared" si="57"/>
        <x:v>0.74968434343434343</x:v>
      </x:c>
      <x:c r="J105" s="38">
        <x:v>0.62777055000000004</x:v>
      </x:c>
      <x:c r="K105" s="38">
        <x:v>16</x:v>
      </x:c>
      <x:c r="L105" s="38">
        <x:f t="shared" si="58"/>
        <x:v>0.41851370000000004</x:v>
      </x:c>
      <x:c r="M105" s="38">
        <x:v>3.7</x:v>
      </x:c>
      <x:c r="N105" s="38">
        <x:v>0</x:v>
      </x:c>
      <x:c r="O105" s="38">
        <x:f t="shared" si="59"/>
        <x:v>0</x:v>
      </x:c>
      <x:c r="P105" s="38">
        <x:f t="shared" si="60"/>
        <x:v>0.41851370000000004</x:v>
      </x:c>
      <x:c r="Q105" s="38">
        <x:v>1</x:v>
      </x:c>
      <x:c r="R105" s="38">
        <x:v>5</x:v>
      </x:c>
      <x:c r="S105" s="38">
        <x:v>1.5</x:v>
      </x:c>
      <x:c r="T105" s="38">
        <x:v>8</x:v>
      </x:c>
      <x:c r="U105" s="38">
        <x:v>1</x:v>
      </x:c>
      <x:c r="V105" s="38">
        <x:f t="shared" si="61"/>
        <x:v>0.6875</x:v>
      </x:c>
      <x:c r="W105" s="34">
        <x:v>1</x:v>
      </x:c>
      <x:c r="X105" s="36">
        <x:v>6000</x:v>
      </x:c>
      <x:c r="Y105" s="40">
        <x:v>11</x:v>
      </x:c>
      <x:c r="Z105" s="40">
        <x:v>25</x:v>
      </x:c>
      <x:c r="AA105" s="38">
        <x:f t="shared" si="62"/>
        <x:v>0.90909090909090917</x:v>
      </x:c>
      <x:c r="AB105" s="41">
        <x:v>0.98</x:v>
      </x:c>
      <x:c r="AC105" s="38">
        <x:f t="shared" si="63"/>
        <x:v>2.8212132168625028</x:v>
      </x:c>
    </x:row>
    <x:row r="106">
      <x:c r="A106" s="22" t="str">
        <x:v>CN30</x:v>
      </x:c>
      <x:c r="B106" s="22" t="s">
        <x:v>443</x:v>
      </x:c>
      <x:c r="C106" s="34">
        <x:v>240</x:v>
      </x:c>
      <x:c r="D106" s="34">
        <x:f t="shared" si="56"/>
        <x:v>15</x:v>
      </x:c>
      <x:c r="E106" s="22">
        <x:v>8</x:v>
      </x:c>
      <x:c r="F106" s="22">
        <x:v>22</x:v>
      </x:c>
      <x:c r="G106" s="22">
        <x:v>300</x:v>
      </x:c>
      <x:c r="H106" s="36">
        <x:v>1800000</x:v>
      </x:c>
      <x:c r="I106" s="38">
        <x:f t="shared" si="57"/>
        <x:v>2.2727272727272729</x:v>
      </x:c>
      <x:c r="J106" s="38">
        <x:v>0.62777055000000004</x:v>
      </x:c>
      <x:c r="K106" s="38">
        <x:v>25</x:v>
      </x:c>
      <x:c r="L106" s="38">
        <x:f t="shared" si="58"/>
        <x:v>1.04628425</x:v>
      </x:c>
      <x:c r="M106" s="38">
        <x:v>3.7</x:v>
      </x:c>
      <x:c r="N106" s="38">
        <x:v>0</x:v>
      </x:c>
      <x:c r="O106" s="38">
        <x:f t="shared" si="59"/>
        <x:v>0</x:v>
      </x:c>
      <x:c r="P106" s="38">
        <x:f t="shared" si="60"/>
        <x:v>1.04628425</x:v>
      </x:c>
      <x:c r="Q106" s="38">
        <x:v>1</x:v>
      </x:c>
      <x:c r="R106" s="38">
        <x:v>5</x:v>
      </x:c>
      <x:c r="S106" s="38">
        <x:v>1.5</x:v>
      </x:c>
      <x:c r="T106" s="38">
        <x:v>8</x:v>
      </x:c>
      <x:c r="U106" s="38">
        <x:v>1</x:v>
      </x:c>
      <x:c r="V106" s="38">
        <x:f t="shared" si="61"/>
        <x:v>1.1000000000000001</x:v>
      </x:c>
      <x:c r="W106" s="34">
        <x:v>1</x:v>
      </x:c>
      <x:c r="X106" s="36">
        <x:v>6000</x:v>
      </x:c>
      <x:c r="Y106" s="40">
        <x:v>11</x:v>
      </x:c>
      <x:c r="Z106" s="40">
        <x:v>25</x:v>
      </x:c>
      <x:c r="AA106" s="38">
        <x:f t="shared" si="62"/>
        <x:v>1.4545454545454546</x:v>
      </x:c>
      <x:c r="AB106" s="41">
        <x:v>0.97499999999999998</x:v>
      </x:c>
      <x:c r="AC106" s="38">
        <x:f t="shared" si="63"/>
        <x:v>6.0241610023310024</x:v>
      </x:c>
    </x:row>
    <x:row r="107">
      <x:c r="A107" s="22" t="str">
        <x:v>CN40</x:v>
      </x:c>
      <x:c r="B107" s="22" t="s">
        <x:v>444</x:v>
      </x:c>
      <x:c r="C107" s="34">
        <x:v>90</x:v>
      </x:c>
      <x:c r="D107" s="34">
        <x:f t="shared" si="56"/>
        <x:v>40</x:v>
      </x:c>
      <x:c r="E107" s="22">
        <x:v>8</x:v>
      </x:c>
      <x:c r="F107" s="22">
        <x:v>22</x:v>
      </x:c>
      <x:c r="G107" s="22">
        <x:v>300</x:v>
      </x:c>
      <x:c r="H107" s="36">
        <x:v>550000</x:v>
      </x:c>
      <x:c r="I107" s="38">
        <x:f t="shared" si="57"/>
        <x:v>0.26041666666666663</x:v>
      </x:c>
      <x:c r="J107" s="38">
        <x:v>0.62777055000000004</x:v>
      </x:c>
      <x:c r="K107" s="38">
        <x:v>11</x:v>
      </x:c>
      <x:c r="L107" s="38">
        <x:f t="shared" si="58"/>
        <x:v>0.17263690125000003</x:v>
      </x:c>
      <x:c r="M107" s="38">
        <x:v>3.7</x:v>
      </x:c>
      <x:c r="N107" s="38">
        <x:v>0</x:v>
      </x:c>
      <x:c r="O107" s="38">
        <x:f t="shared" si="59"/>
        <x:v>0</x:v>
      </x:c>
      <x:c r="P107" s="38">
        <x:f t="shared" si="60"/>
        <x:v>0.17263690125000003</x:v>
      </x:c>
      <x:c r="Q107" s="38">
        <x:v>1</x:v>
      </x:c>
      <x:c r="R107" s="38">
        <x:v>5</x:v>
      </x:c>
      <x:c r="S107" s="38">
        <x:v>1.5</x:v>
      </x:c>
      <x:c r="T107" s="38">
        <x:v>8</x:v>
      </x:c>
      <x:c r="U107" s="38">
        <x:v>1</x:v>
      </x:c>
      <x:c r="V107" s="38">
        <x:f t="shared" si="61"/>
        <x:v>0.41249999999999998</x:v>
      </x:c>
      <x:c r="W107" s="34">
        <x:v>1</x:v>
      </x:c>
      <x:c r="X107" s="36">
        <x:v>6000</x:v>
      </x:c>
      <x:c r="Y107" s="40">
        <x:v>11</x:v>
      </x:c>
      <x:c r="Z107" s="40">
        <x:v>25</x:v>
      </x:c>
      <x:c r="AA107" s="38">
        <x:f t="shared" si="62"/>
        <x:v>0.54545454545454553</x:v>
      </x:c>
      <x:c r="AB107" s="41">
        <x:v>0.98499999999999999</x:v>
      </x:c>
      <x:c r="AC107" s="38">
        <x:f t="shared" si="63"/>
        <x:v>1.4121909780418398</x:v>
      </x:c>
    </x:row>
    <x:row r="108">
      <x:c r="A108" s="22" t="str">
        <x:v>CN50</x:v>
      </x:c>
      <x:c r="B108" s="22" t="s">
        <x:v>445</x:v>
      </x:c>
      <x:c r="C108" s="34">
        <x:v>35</x:v>
      </x:c>
      <x:c r="D108" s="34">
        <x:f t="shared" si="56"/>
        <x:v>102.85714285714286</x:v>
      </x:c>
      <x:c r="E108" s="22">
        <x:v>8</x:v>
      </x:c>
      <x:c r="F108" s="22">
        <x:v>22</x:v>
      </x:c>
      <x:c r="G108" s="22">
        <x:v>300</x:v>
      </x:c>
      <x:c r="H108" s="36">
        <x:v>280000</x:v>
      </x:c>
      <x:c r="I108" s="38">
        <x:f t="shared" si="57"/>
        <x:v>5.1557239057239058E-2</x:v>
      </x:c>
      <x:c r="J108" s="38">
        <x:v>0.62777055000000004</x:v>
      </x:c>
      <x:c r="K108" s="38">
        <x:v>6</x:v>
      </x:c>
      <x:c r="L108" s="38">
        <x:f t="shared" si="58"/>
        <x:v>3.6619948749999999E-2</x:v>
      </x:c>
      <x:c r="M108" s="38">
        <x:v>3.7</x:v>
      </x:c>
      <x:c r="N108" s="38">
        <x:v>0</x:v>
      </x:c>
      <x:c r="O108" s="38">
        <x:f t="shared" si="59"/>
        <x:v>0</x:v>
      </x:c>
      <x:c r="P108" s="38">
        <x:f t="shared" si="60"/>
        <x:v>3.6619948749999999E-2</x:v>
      </x:c>
      <x:c r="Q108" s="38">
        <x:v>1</x:v>
      </x:c>
      <x:c r="R108" s="38">
        <x:v>5</x:v>
      </x:c>
      <x:c r="S108" s="38">
        <x:v>1.5</x:v>
      </x:c>
      <x:c r="T108" s="38">
        <x:v>8</x:v>
      </x:c>
      <x:c r="U108" s="38">
        <x:v>1</x:v>
      </x:c>
      <x:c r="V108" s="38">
        <x:f t="shared" si="61"/>
        <x:v>0.16041666666666665</x:v>
      </x:c>
      <x:c r="W108" s="34">
        <x:v>1</x:v>
      </x:c>
      <x:c r="X108" s="36">
        <x:v>6000</x:v>
      </x:c>
      <x:c r="Y108" s="40">
        <x:v>11</x:v>
      </x:c>
      <x:c r="Z108" s="40">
        <x:v>25</x:v>
      </x:c>
      <x:c r="AA108" s="38">
        <x:f t="shared" si="62"/>
        <x:v>0.21212121212121213</x:v>
      </x:c>
      <x:c r="AB108" s="41">
        <x:v>0.98499999999999999</x:v>
      </x:c>
      <x:c r="AC108" s="38">
        <x:f t="shared" si="63"/>
        <x:v>0.46773103207626177</x:v>
      </x:c>
    </x:row>
    <x:row r="109">
      <x:c r="A109" s="22" t="str">
        <x:v>CN60</x:v>
      </x:c>
      <x:c r="B109" s="22" t="s">
        <x:v>446</x:v>
      </x:c>
      <x:c r="C109" s="34">
        <x:v>20</x:v>
      </x:c>
      <x:c r="D109" s="34">
        <x:f t="shared" si="56"/>
        <x:v>180</x:v>
      </x:c>
      <x:c r="E109" s="22">
        <x:v>7</x:v>
      </x:c>
      <x:c r="F109" s="22">
        <x:v>22</x:v>
      </x:c>
      <x:c r="G109" s="22">
        <x:v>300</x:v>
      </x:c>
      <x:c r="H109" s="36">
        <x:v>120000</x:v>
      </x:c>
      <x:c r="I109" s="38">
        <x:f t="shared" si="57"/>
        <x:v>1.443001443001443E-2</x:v>
      </x:c>
      <x:c r="J109" s="38">
        <x:v>0.62777055000000004</x:v>
      </x:c>
      <x:c r="K109" s="38">
        <x:v>2</x:v>
      </x:c>
      <x:c r="L109" s="38">
        <x:f t="shared" si="58"/>
        <x:v>6.975228333333334E-3</x:v>
      </x:c>
      <x:c r="M109" s="38">
        <x:v>3.7</x:v>
      </x:c>
      <x:c r="N109" s="38">
        <x:v>0</x:v>
      </x:c>
      <x:c r="O109" s="38">
        <x:f t="shared" si="59"/>
        <x:v>0</x:v>
      </x:c>
      <x:c r="P109" s="38">
        <x:f t="shared" si="60"/>
        <x:v>6.975228333333334E-3</x:v>
      </x:c>
      <x:c r="Q109" s="38">
        <x:v>1</x:v>
      </x:c>
      <x:c r="R109" s="38">
        <x:v>5</x:v>
      </x:c>
      <x:c r="S109" s="38">
        <x:v>1.5</x:v>
      </x:c>
      <x:c r="T109" s="38">
        <x:v>8</x:v>
      </x:c>
      <x:c r="U109" s="38">
        <x:v>1</x:v>
      </x:c>
      <x:c r="V109" s="38">
        <x:f t="shared" si="61"/>
        <x:v>9.166666666666666E-2</x:v>
      </x:c>
      <x:c r="W109" s="34">
        <x:v>1</x:v>
      </x:c>
      <x:c r="X109" s="36">
        <x:v>6000</x:v>
      </x:c>
      <x:c r="Y109" s="40">
        <x:v>11</x:v>
      </x:c>
      <x:c r="Z109" s="40">
        <x:v>25</x:v>
      </x:c>
      <x:c r="AA109" s="38">
        <x:f t="shared" si="62"/>
        <x:v>0.12121212121212123</x:v>
      </x:c>
      <x:c r="AB109" s="41">
        <x:v>0.99</x:v>
      </x:c>
      <x:c r="AC109" s="38">
        <x:f t="shared" si="63"/>
        <x:v>0.23665053600215724</x:v>
      </x:c>
    </x:row>
    <x:row r="110">
      <x:c r="A110" s="22" t="str">
        <x:v>CN70</x:v>
      </x:c>
      <x:c r="B110" s="22" t="s">
        <x:v>447</x:v>
      </x:c>
      <x:c r="C110" s="34">
        <x:v>15</x:v>
      </x:c>
      <x:c r="D110" s="34">
        <x:f t="shared" si="56"/>
        <x:v>240</x:v>
      </x:c>
      <x:c r="E110" s="22">
        <x:v>7</x:v>
      </x:c>
      <x:c r="F110" s="22">
        <x:v>22</x:v>
      </x:c>
      <x:c r="G110" s="22">
        <x:v>300</x:v>
      </x:c>
      <x:c r="H110" s="36">
        <x:v>250000</x:v>
      </x:c>
      <x:c r="I110" s="38">
        <x:f t="shared" si="57"/>
        <x:v>2.2546897546897548E-2</x:v>
      </x:c>
      <x:c r="J110" s="38">
        <x:v>0.62777055000000004</x:v>
      </x:c>
      <x:c r="K110" s="38">
        <x:v>8</x:v>
      </x:c>
      <x:c r="L110" s="38">
        <x:f t="shared" si="58"/>
        <x:v>2.0925685000000003E-2</x:v>
      </x:c>
      <x:c r="M110" s="38">
        <x:v>3.7</x:v>
      </x:c>
      <x:c r="N110" s="38">
        <x:v>0</x:v>
      </x:c>
      <x:c r="O110" s="38">
        <x:f t="shared" si="59"/>
        <x:v>0</x:v>
      </x:c>
      <x:c r="P110" s="38">
        <x:f t="shared" si="60"/>
        <x:v>2.0925685000000003E-2</x:v>
      </x:c>
      <x:c r="Q110" s="38">
        <x:v>1</x:v>
      </x:c>
      <x:c r="R110" s="38">
        <x:v>5</x:v>
      </x:c>
      <x:c r="S110" s="38">
        <x:v>1.5</x:v>
      </x:c>
      <x:c r="T110" s="38">
        <x:v>8</x:v>
      </x:c>
      <x:c r="U110" s="38">
        <x:v>1</x:v>
      </x:c>
      <x:c r="V110" s="38">
        <x:f t="shared" si="61"/>
        <x:v>6.8750000000000006E-2</x:v>
      </x:c>
      <x:c r="W110" s="34">
        <x:v>1</x:v>
      </x:c>
      <x:c r="X110" s="36">
        <x:v>6000</x:v>
      </x:c>
      <x:c r="Y110" s="40">
        <x:v>11</x:v>
      </x:c>
      <x:c r="Z110" s="40">
        <x:v>25</x:v>
      </x:c>
      <x:c r="AA110" s="38">
        <x:f t="shared" si="62"/>
        <x:v>9.0909090909090912E-2</x:v>
      </x:c>
      <x:c r="AB110" s="41">
        <x:v>0.99</x:v>
      </x:c>
      <x:c r="AC110" s="38">
        <x:f t="shared" si="63"/>
        <x:v>0.20518350854140252</x:v>
      </x:c>
    </x:row>
    <x:row r="111">
      <x:c r="A111" s="22"/>
      <x:c r="B111" s="22"/>
      <x:c r="C111" s="34"/>
      <x:c r="D111" s="34"/>
      <x:c r="E111" s="22"/>
      <x:c r="F111" s="22"/>
      <x:c r="G111" s="22"/>
      <x:c r="H111" s="36"/>
      <x:c r="I111" s="38"/>
      <x:c r="J111" s="38"/>
      <x:c r="K111" s="38"/>
      <x:c r="L111" s="38"/>
      <x:c r="M111" s="38"/>
      <x:c r="N111" s="38"/>
      <x:c r="O111" s="38"/>
      <x:c r="P111" s="38"/>
      <x:c r="Q111" s="38"/>
      <x:c r="R111" s="38"/>
      <x:c r="S111" s="38"/>
      <x:c r="T111" s="38"/>
      <x:c r="U111" s="38"/>
      <x:c r="V111" s="38"/>
      <x:c r="W111" s="34"/>
      <x:c r="X111" s="36"/>
      <x:c r="Y111" s="40"/>
      <x:c r="Z111" s="40"/>
      <x:c r="AA111" s="38"/>
      <x:c r="AB111" s="41"/>
      <x:c r="AC111" s="38"/>
    </x:row>
    <x:row r="112">
      <x:c r="A112" s="22"/>
      <x:c r="B112" s="22"/>
      <x:c r="C112" s="34"/>
      <x:c r="D112" s="34"/>
      <x:c r="E112" s="22"/>
      <x:c r="F112" s="22"/>
      <x:c r="G112" s="22"/>
      <x:c r="H112" s="36"/>
      <x:c r="I112" s="38"/>
      <x:c r="J112" s="38"/>
      <x:c r="K112" s="38"/>
      <x:c r="L112" s="38"/>
      <x:c r="M112" s="38"/>
      <x:c r="N112" s="38"/>
      <x:c r="O112" s="38"/>
      <x:c r="P112" s="38"/>
      <x:c r="Q112" s="38"/>
      <x:c r="R112" s="38"/>
      <x:c r="S112" s="38"/>
      <x:c r="T112" s="38"/>
      <x:c r="U112" s="38"/>
      <x:c r="V112" s="38"/>
      <x:c r="W112" s="34"/>
      <x:c r="X112" s="36"/>
      <x:c r="Y112" s="40"/>
      <x:c r="Z112" s="40"/>
      <x:c r="AA112" s="38"/>
      <x:c r="AB112" s="41"/>
      <x:c r="AC112" s="38"/>
    </x:row>
    <x:row r="113">
      <x:c r="A113" s="22"/>
      <x:c r="B113" s="22"/>
      <x:c r="C113" s="34"/>
      <x:c r="D113" s="34"/>
      <x:c r="E113" s="22"/>
      <x:c r="F113" s="22"/>
      <x:c r="G113" s="22"/>
      <x:c r="H113" s="36"/>
      <x:c r="I113" s="38"/>
      <x:c r="J113" s="38"/>
      <x:c r="K113" s="38"/>
      <x:c r="L113" s="38"/>
      <x:c r="M113" s="38"/>
      <x:c r="N113" s="38"/>
      <x:c r="O113" s="38"/>
      <x:c r="P113" s="38"/>
      <x:c r="Q113" s="38"/>
      <x:c r="R113" s="38"/>
      <x:c r="S113" s="38"/>
      <x:c r="T113" s="38"/>
      <x:c r="U113" s="38"/>
      <x:c r="V113" s="38"/>
      <x:c r="W113" s="34"/>
      <x:c r="X113" s="36"/>
      <x:c r="Y113" s="40"/>
      <x:c r="Z113" s="40"/>
      <x:c r="AA113" s="38"/>
      <x:c r="AB113" s="41"/>
      <x:c r="AC113" s="38"/>
    </x:row>
    <x:row r="114">
      <x:c r="A114" s="22"/>
      <x:c r="B114" s="22"/>
      <x:c r="C114" s="34"/>
      <x:c r="D114" s="34"/>
      <x:c r="E114" s="22"/>
      <x:c r="F114" s="22"/>
      <x:c r="G114" s="22"/>
      <x:c r="H114" s="36"/>
      <x:c r="I114" s="38"/>
      <x:c r="J114" s="38"/>
      <x:c r="K114" s="38"/>
      <x:c r="L114" s="38"/>
      <x:c r="M114" s="38"/>
      <x:c r="N114" s="38"/>
      <x:c r="O114" s="38"/>
      <x:c r="P114" s="38"/>
      <x:c r="Q114" s="38"/>
      <x:c r="R114" s="38"/>
      <x:c r="S114" s="38"/>
      <x:c r="T114" s="38"/>
      <x:c r="U114" s="38"/>
      <x:c r="V114" s="38"/>
      <x:c r="W114" s="34"/>
      <x:c r="X114" s="36"/>
      <x:c r="Y114" s="40"/>
      <x:c r="Z114" s="40"/>
      <x:c r="AA114" s="38"/>
      <x:c r="AB114" s="41"/>
      <x:c r="AC114" s="38"/>
    </x:row>
    <x:row r="115">
      <x:c r="A115" s="22"/>
      <x:c r="B115" s="22"/>
      <x:c r="C115" s="34"/>
      <x:c r="D115" s="34"/>
      <x:c r="E115" s="22"/>
      <x:c r="F115" s="22"/>
      <x:c r="G115" s="22"/>
      <x:c r="H115" s="36"/>
      <x:c r="I115" s="38"/>
      <x:c r="J115" s="38"/>
      <x:c r="K115" s="38"/>
      <x:c r="L115" s="38"/>
      <x:c r="M115" s="38"/>
      <x:c r="N115" s="38"/>
      <x:c r="O115" s="38"/>
      <x:c r="P115" s="38"/>
      <x:c r="Q115" s="38"/>
      <x:c r="R115" s="38"/>
      <x:c r="S115" s="38"/>
      <x:c r="T115" s="38"/>
      <x:c r="U115" s="38"/>
      <x:c r="V115" s="38"/>
      <x:c r="W115" s="34"/>
      <x:c r="X115" s="36"/>
      <x:c r="Y115" s="40"/>
      <x:c r="Z115" s="40"/>
      <x:c r="AA115" s="38"/>
      <x:c r="AB115" s="41"/>
      <x:c r="AC115" s="38"/>
    </x:row>
    <x:row r="116">
      <x:c r="A116" s="22"/>
      <x:c r="B116" s="22"/>
      <x:c r="C116" s="34"/>
      <x:c r="D116" s="34"/>
      <x:c r="E116" s="22"/>
      <x:c r="F116" s="22"/>
      <x:c r="G116" s="22"/>
      <x:c r="H116" s="36"/>
      <x:c r="I116" s="38"/>
      <x:c r="J116" s="38"/>
      <x:c r="K116" s="38"/>
      <x:c r="L116" s="38"/>
      <x:c r="M116" s="38"/>
      <x:c r="N116" s="38"/>
      <x:c r="O116" s="38"/>
      <x:c r="P116" s="38"/>
      <x:c r="Q116" s="38"/>
      <x:c r="R116" s="38"/>
      <x:c r="S116" s="38"/>
      <x:c r="T116" s="38"/>
      <x:c r="U116" s="38"/>
      <x:c r="V116" s="38"/>
      <x:c r="W116" s="34"/>
      <x:c r="X116" s="36"/>
      <x:c r="Y116" s="40"/>
      <x:c r="Z116" s="40"/>
      <x:c r="AA116" s="38"/>
      <x:c r="AB116" s="41"/>
      <x:c r="AC116" s="38"/>
    </x:row>
    <x:row r="117">
      <x:c r="A117" s="22"/>
      <x:c r="B117" s="22"/>
      <x:c r="C117" s="34"/>
      <x:c r="D117" s="34"/>
      <x:c r="E117" s="22"/>
      <x:c r="F117" s="22"/>
      <x:c r="G117" s="22"/>
      <x:c r="H117" s="36"/>
      <x:c r="I117" s="38"/>
      <x:c r="J117" s="38"/>
      <x:c r="K117" s="38"/>
      <x:c r="L117" s="38"/>
      <x:c r="M117" s="38"/>
      <x:c r="N117" s="38"/>
      <x:c r="O117" s="38"/>
      <x:c r="P117" s="38"/>
      <x:c r="Q117" s="38"/>
      <x:c r="R117" s="38"/>
      <x:c r="S117" s="38"/>
      <x:c r="T117" s="38"/>
      <x:c r="U117" s="38"/>
      <x:c r="V117" s="38"/>
      <x:c r="W117" s="34"/>
      <x:c r="X117" s="36"/>
      <x:c r="Y117" s="40"/>
      <x:c r="Z117" s="40"/>
      <x:c r="AA117" s="38"/>
      <x:c r="AB117" s="41"/>
      <x:c r="AC117" s="38"/>
    </x:row>
    <x:row r="118">
      <x:c r="A118" s="22"/>
      <x:c r="B118" s="22"/>
      <x:c r="C118" s="34"/>
      <x:c r="D118" s="34"/>
      <x:c r="E118" s="22"/>
      <x:c r="F118" s="22"/>
      <x:c r="G118" s="22"/>
      <x:c r="H118" s="36"/>
      <x:c r="I118" s="38"/>
      <x:c r="J118" s="38"/>
      <x:c r="K118" s="38"/>
      <x:c r="L118" s="38"/>
      <x:c r="M118" s="38"/>
      <x:c r="N118" s="38"/>
      <x:c r="O118" s="38"/>
      <x:c r="P118" s="38"/>
      <x:c r="Q118" s="38"/>
      <x:c r="R118" s="38"/>
      <x:c r="S118" s="38"/>
      <x:c r="T118" s="38"/>
      <x:c r="U118" s="38"/>
      <x:c r="V118" s="38"/>
      <x:c r="W118" s="34"/>
      <x:c r="X118" s="36"/>
      <x:c r="Y118" s="40"/>
      <x:c r="Z118" s="40"/>
      <x:c r="AA118" s="38"/>
      <x:c r="AB118" s="41"/>
      <x:c r="AC118" s="38"/>
    </x:row>
    <x:row r="119">
      <x:c r="A119" s="22"/>
      <x:c r="B119" s="22"/>
      <x:c r="C119" s="34"/>
      <x:c r="D119" s="34"/>
      <x:c r="E119" s="22"/>
      <x:c r="F119" s="22"/>
      <x:c r="G119" s="22"/>
      <x:c r="H119" s="36"/>
      <x:c r="I119" s="38"/>
      <x:c r="J119" s="38"/>
      <x:c r="K119" s="38"/>
      <x:c r="L119" s="38"/>
      <x:c r="M119" s="38"/>
      <x:c r="N119" s="38"/>
      <x:c r="O119" s="38"/>
      <x:c r="P119" s="38"/>
      <x:c r="Q119" s="38"/>
      <x:c r="R119" s="38"/>
      <x:c r="S119" s="38"/>
      <x:c r="T119" s="38"/>
      <x:c r="U119" s="38"/>
      <x:c r="V119" s="38"/>
      <x:c r="W119" s="34"/>
      <x:c r="X119" s="36"/>
      <x:c r="Y119" s="40"/>
      <x:c r="Z119" s="40"/>
      <x:c r="AA119" s="38"/>
      <x:c r="AB119" s="41"/>
      <x:c r="AC119" s="38"/>
    </x:row>
    <x:row r="120">
      <x:c r="A120" s="22"/>
      <x:c r="B120" s="22"/>
      <x:c r="C120" s="34"/>
      <x:c r="D120" s="34"/>
      <x:c r="E120" s="22"/>
      <x:c r="F120" s="22"/>
      <x:c r="G120" s="22"/>
      <x:c r="H120" s="36"/>
      <x:c r="I120" s="38"/>
      <x:c r="J120" s="38"/>
      <x:c r="K120" s="38"/>
      <x:c r="L120" s="38"/>
      <x:c r="M120" s="38"/>
      <x:c r="N120" s="38"/>
      <x:c r="O120" s="38"/>
      <x:c r="P120" s="38"/>
      <x:c r="Q120" s="38"/>
      <x:c r="R120" s="38"/>
      <x:c r="S120" s="38"/>
      <x:c r="T120" s="38"/>
      <x:c r="U120" s="38"/>
      <x:c r="V120" s="38"/>
      <x:c r="W120" s="34"/>
      <x:c r="X120" s="36"/>
      <x:c r="Y120" s="40"/>
      <x:c r="Z120" s="40"/>
      <x:c r="AA120" s="38"/>
      <x:c r="AB120" s="41"/>
      <x:c r="AC120" s="38"/>
    </x:row>
    <x:row r="121">
      <x:c r="A121" s="43" t="str">
        <x:v>人工工序</x:v>
      </x:c>
      <x:c r="B121" s="43"/>
      <x:c r="C121" s="44"/>
      <x:c r="D121" s="44"/>
      <x:c r="E121" s="43"/>
      <x:c r="F121" s="43"/>
      <x:c r="G121" s="43"/>
      <x:c r="H121" s="45"/>
      <x:c r="I121" s="46"/>
      <x:c r="J121" s="46"/>
      <x:c r="K121" s="46"/>
      <x:c r="L121" s="46"/>
      <x:c r="M121" s="46"/>
      <x:c r="N121" s="46"/>
      <x:c r="O121" s="46"/>
      <x:c r="P121" s="46"/>
      <x:c r="Q121" s="46"/>
      <x:c r="R121" s="46"/>
      <x:c r="S121" s="46"/>
      <x:c r="T121" s="46"/>
      <x:c r="U121" s="46"/>
      <x:c r="V121" s="46"/>
      <x:c r="W121" s="44"/>
      <x:c r="X121" s="45"/>
      <x:c r="Y121" s="47"/>
      <x:c r="Z121" s="47"/>
      <x:c r="AA121" s="46"/>
      <x:c r="AB121" s="48"/>
      <x:c r="AC121" s="46"/>
    </x:row>
    <x:row r="122">
      <x:c r="A122" s="22" t="str">
        <x:v>MA10</x:v>
      </x:c>
      <x:c r="B122" s="22" t="s">
        <x:v>448</x:v>
      </x:c>
      <x:c r="C122" s="34">
        <x:v>20</x:v>
      </x:c>
      <x:c r="D122" s="34" t="n">
        <x:f t="shared" ref="D122:D131" si="64">IFERROR(60*60/C122,0)</x:f>
        <x:v>180</x:v>
      </x:c>
      <x:c r="E122" s="22">
        <x:v>5</x:v>
      </x:c>
      <x:c r="F122" s="22">
        <x:v>22</x:v>
      </x:c>
      <x:c r="G122" s="22">
        <x:v>300</x:v>
      </x:c>
      <x:c r="H122" s="36">
        <x:v>10000</x:v>
      </x:c>
      <x:c r="I122" s="38" t="n">
        <x:f t="shared" ref="I122:I131" si="65">IFERROR(H122/E122/F122/G122/D122,0)</x:f>
        <x:v>0.0016835016835016836</x:v>
      </x:c>
      <x:c r="J122" s="38">
        <x:v>0.62777055000000004</x:v>
      </x:c>
      <x:c r="K122" s="38">
        <x:v>0.2</x:v>
      </x:c>
      <x:c r="L122" s="38" t="n">
        <x:f t="shared" ref="L122:L131" si="66">IFERROR(J122*K122/D122,0)</x:f>
        <x:v>0.0006975228333333334</x:v>
      </x:c>
      <x:c r="M122" s="38">
        <x:v>3.7</x:v>
      </x:c>
      <x:c r="N122" s="38">
        <x:v>0</x:v>
      </x:c>
      <x:c r="O122" s="38" t="n">
        <x:f t="shared" ref="O122:O131" si="67">IFERROR(N122*M122/D122,0)</x:f>
        <x:v>0</x:v>
      </x:c>
      <x:c r="P122" s="38" t="n">
        <x:f t="shared" ref="P122:P131" si="68">O122+L122</x:f>
        <x:v>0.0006975228333333334</x:v>
      </x:c>
      <x:c r="Q122" s="38">
        <x:v>0</x:v>
      </x:c>
      <x:c r="R122" s="38">
        <x:v>0</x:v>
      </x:c>
      <x:c r="S122" s="38">
        <x:v>0</x:v>
      </x:c>
      <x:c r="T122" s="38">
        <x:v>0</x:v>
      </x:c>
      <x:c r="U122" s="38">
        <x:v>1</x:v>
      </x:c>
      <x:c r="V122" s="38" t="n">
        <x:f t="shared" ref="V122:V131" si="69">IFERROR((Q122+R122+S122+T122+U122)/D122,0)</x:f>
        <x:v>0.005555555555555556</x:v>
      </x:c>
      <x:c r="W122" s="34">
        <x:v>1</x:v>
      </x:c>
      <x:c r="X122" s="36">
        <x:v>6000</x:v>
      </x:c>
      <x:c r="Y122" s="40">
        <x:v>11</x:v>
      </x:c>
      <x:c r="Z122" s="40">
        <x:v>25</x:v>
      </x:c>
      <x:c r="AA122" s="38" t="n">
        <x:f t="shared" ref="AA122:AA131" si="70">IFERROR((W122*X122)/Y122/Z122/D122,0)</x:f>
        <x:v>0.12121212121212123</x:v>
      </x:c>
      <x:c r="AB122" s="41">
        <x:v>0.99</x:v>
      </x:c>
      <x:c r="AC122" s="38" t="n">
        <x:f t="shared" ref="AC122:AC131" si="71">IFERROR((I122+P122+V122+AA122)/AB122,0)</x:f>
        <x:v>0.130453233620719</x:v>
      </x:c>
    </x:row>
    <x:row r="123">
      <x:c r="A123" s="22" t="str">
        <x:v>MA20</x:v>
      </x:c>
      <x:c r="B123" s="22" t="s">
        <x:v>449</x:v>
      </x:c>
      <x:c r="C123" s="34">
        <x:v>8</x:v>
      </x:c>
      <x:c r="D123" s="34">
        <x:f t="shared" si="64"/>
        <x:v>450</x:v>
      </x:c>
      <x:c r="E123" s="22">
        <x:v>5</x:v>
      </x:c>
      <x:c r="F123" s="22">
        <x:v>22</x:v>
      </x:c>
      <x:c r="G123" s="22">
        <x:v>300</x:v>
      </x:c>
      <x:c r="H123" s="36">
        <x:v>18000</x:v>
      </x:c>
      <x:c r="I123" s="38">
        <x:f t="shared" si="65"/>
        <x:v>1.2121212121212121E-3</x:v>
      </x:c>
      <x:c r="J123" s="38">
        <x:v>0.62777055000000004</x:v>
      </x:c>
      <x:c r="K123" s="38">
        <x:v>0.3</x:v>
      </x:c>
      <x:c r="L123" s="38">
        <x:f t="shared" si="66"/>
        <x:v>4.1851369999999999E-4</x:v>
      </x:c>
      <x:c r="M123" s="38">
        <x:v>3.7</x:v>
      </x:c>
      <x:c r="N123" s="38">
        <x:v>0</x:v>
      </x:c>
      <x:c r="O123" s="38">
        <x:f t="shared" si="67"/>
        <x:v>0</x:v>
      </x:c>
      <x:c r="P123" s="38">
        <x:f t="shared" si="68"/>
        <x:v>4.1851369999999999E-4</x:v>
      </x:c>
      <x:c r="Q123" s="38">
        <x:v>0</x:v>
      </x:c>
      <x:c r="R123" s="38">
        <x:v>0</x:v>
      </x:c>
      <x:c r="S123" s="38">
        <x:v>0</x:v>
      </x:c>
      <x:c r="T123" s="38">
        <x:v>0</x:v>
      </x:c>
      <x:c r="U123" s="38">
        <x:v>1</x:v>
      </x:c>
      <x:c r="V123" s="38">
        <x:f t="shared" si="69"/>
        <x:v>2.2222222222222222E-3</x:v>
      </x:c>
      <x:c r="W123" s="34">
        <x:v>1</x:v>
      </x:c>
      <x:c r="X123" s="36">
        <x:v>6000</x:v>
      </x:c>
      <x:c r="Y123" s="40">
        <x:v>11</x:v>
      </x:c>
      <x:c r="Z123" s="40">
        <x:v>25</x:v>
      </x:c>
      <x:c r="AA123" s="38">
        <x:f t="shared" si="70"/>
        <x:v>4.8484848484848492E-2</x:v>
      </x:c>
      <x:c r="AB123" s="41">
        <x:v>0.995</x:v>
      </x:c>
      <x:c r="AC123" s="38">
        <x:f t="shared" si="71"/>
        <x:v>5.2600709165017009E-2</x:v>
      </x:c>
    </x:row>
    <x:row r="124">
      <x:c r="A124" s="22" t="str">
        <x:v>MA30</x:v>
      </x:c>
      <x:c r="B124" s="22" t="s">
        <x:v>450</x:v>
      </x:c>
      <x:c r="C124" s="34">
        <x:v>6</x:v>
      </x:c>
      <x:c r="D124" s="34">
        <x:f t="shared" si="64"/>
        <x:v>600</x:v>
      </x:c>
      <x:c r="E124" s="22">
        <x:v>5</x:v>
      </x:c>
      <x:c r="F124" s="22">
        <x:v>22</x:v>
      </x:c>
      <x:c r="G124" s="22">
        <x:v>300</x:v>
      </x:c>
      <x:c r="H124" s="36">
        <x:v>8000</x:v>
      </x:c>
      <x:c r="I124" s="38">
        <x:f t="shared" si="65"/>
        <x:v>4.0404040404040409E-4</x:v>
      </x:c>
      <x:c r="J124" s="38">
        <x:v>0.62777055000000004</x:v>
      </x:c>
      <x:c r="K124" s="38">
        <x:v>0.1</x:v>
      </x:c>
      <x:c r="L124" s="38">
        <x:f t="shared" si="66"/>
        <x:v>1.0462842500000002E-4</x:v>
      </x:c>
      <x:c r="M124" s="38">
        <x:v>3.7</x:v>
      </x:c>
      <x:c r="N124" s="38">
        <x:v>0</x:v>
      </x:c>
      <x:c r="O124" s="38">
        <x:f t="shared" si="67"/>
        <x:v>0</x:v>
      </x:c>
      <x:c r="P124" s="38">
        <x:f t="shared" si="68"/>
        <x:v>1.0462842500000002E-4</x:v>
      </x:c>
      <x:c r="Q124" s="38">
        <x:v>0</x:v>
      </x:c>
      <x:c r="R124" s="38">
        <x:v>0</x:v>
      </x:c>
      <x:c r="S124" s="38">
        <x:v>0</x:v>
      </x:c>
      <x:c r="T124" s="38">
        <x:v>0</x:v>
      </x:c>
      <x:c r="U124" s="38">
        <x:v>1</x:v>
      </x:c>
      <x:c r="V124" s="38">
        <x:f t="shared" si="69"/>
        <x:v>1.6666666666666668E-3</x:v>
      </x:c>
      <x:c r="W124" s="34">
        <x:v>1</x:v>
      </x:c>
      <x:c r="X124" s="36">
        <x:v>6000</x:v>
      </x:c>
      <x:c r="Y124" s="40">
        <x:v>11</x:v>
      </x:c>
      <x:c r="Z124" s="40">
        <x:v>25</x:v>
      </x:c>
      <x:c r="AA124" s="38">
        <x:f t="shared" si="70"/>
        <x:v>3.6363636363636369E-2</x:v>
      </x:c>
      <x:c r="AB124" s="41">
        <x:v>0.995</x:v>
      </x:c>
      <x:c r="AC124" s="38">
        <x:f t="shared" si="71"/>
        <x:v>3.8732635034516023E-2</x:v>
      </x:c>
    </x:row>
    <x:row r="125">
      <x:c r="A125" s="22" t="str">
        <x:v>MA40</x:v>
      </x:c>
      <x:c r="B125" s="22" t="s">
        <x:v>451</x:v>
      </x:c>
      <x:c r="C125" s="34">
        <x:v>12</x:v>
      </x:c>
      <x:c r="D125" s="34">
        <x:f t="shared" si="64"/>
        <x:v>300</x:v>
      </x:c>
      <x:c r="E125" s="22">
        <x:v>5</x:v>
      </x:c>
      <x:c r="F125" s="22">
        <x:v>22</x:v>
      </x:c>
      <x:c r="G125" s="22">
        <x:v>300</x:v>
      </x:c>
      <x:c r="H125" s="36">
        <x:v>6000</x:v>
      </x:c>
      <x:c r="I125" s="38">
        <x:f t="shared" si="65"/>
        <x:v>6.0606060606060606E-4</x:v>
      </x:c>
      <x:c r="J125" s="38">
        <x:v>0.62777055000000004</x:v>
      </x:c>
      <x:c r="K125" s="38">
        <x:v>0.1</x:v>
      </x:c>
      <x:c r="L125" s="38">
        <x:f t="shared" si="66"/>
        <x:v>2.0925685000000005E-4</x:v>
      </x:c>
      <x:c r="M125" s="38">
        <x:v>3.7</x:v>
      </x:c>
      <x:c r="N125" s="38">
        <x:v>0</x:v>
      </x:c>
      <x:c r="O125" s="38">
        <x:f t="shared" si="67"/>
        <x:v>0</x:v>
      </x:c>
      <x:c r="P125" s="38">
        <x:f t="shared" si="68"/>
        <x:v>2.0925685000000005E-4</x:v>
      </x:c>
      <x:c r="Q125" s="38">
        <x:v>0</x:v>
      </x:c>
      <x:c r="R125" s="38">
        <x:v>0</x:v>
      </x:c>
      <x:c r="S125" s="38">
        <x:v>0</x:v>
      </x:c>
      <x:c r="T125" s="38">
        <x:v>0</x:v>
      </x:c>
      <x:c r="U125" s="38">
        <x:v>1</x:v>
      </x:c>
      <x:c r="V125" s="38">
        <x:f t="shared" si="69"/>
        <x:v>3.3333333333333335E-3</x:v>
      </x:c>
      <x:c r="W125" s="34">
        <x:v>1</x:v>
      </x:c>
      <x:c r="X125" s="36">
        <x:v>6000</x:v>
      </x:c>
      <x:c r="Y125" s="40">
        <x:v>11</x:v>
      </x:c>
      <x:c r="Z125" s="40">
        <x:v>25</x:v>
      </x:c>
      <x:c r="AA125" s="38">
        <x:f t="shared" si="70"/>
        <x:v>7.2727272727272738E-2</x:v>
      </x:c>
      <x:c r="AB125" s="41">
        <x:v>0.99</x:v>
      </x:c>
      <x:c r="AC125" s="38">
        <x:f t="shared" si="71"/>
        <x:v>7.7652447996633012E-2</x:v>
      </x:c>
    </x:row>
    <x:row r="126">
      <x:c r="A126" s="22" t="str">
        <x:v>MA50</x:v>
      </x:c>
      <x:c r="B126" s="22" t="s">
        <x:v>452</x:v>
      </x:c>
      <x:c r="C126" s="34">
        <x:v>8</x:v>
      </x:c>
      <x:c r="D126" s="34">
        <x:f t="shared" si="64"/>
        <x:v>450</x:v>
      </x:c>
      <x:c r="E126" s="22">
        <x:v>5</x:v>
      </x:c>
      <x:c r="F126" s="22">
        <x:v>22</x:v>
      </x:c>
      <x:c r="G126" s="22">
        <x:v>300</x:v>
      </x:c>
      <x:c r="H126" s="36">
        <x:v>8000</x:v>
      </x:c>
      <x:c r="I126" s="38">
        <x:f t="shared" si="65"/>
        <x:v>5.3872053872053879E-4</x:v>
      </x:c>
      <x:c r="J126" s="38">
        <x:v>0.62777055000000004</x:v>
      </x:c>
      <x:c r="K126" s="38">
        <x:v>0.1</x:v>
      </x:c>
      <x:c r="L126" s="38">
        <x:f t="shared" si="66"/>
        <x:v>1.395045666666667E-4</x:v>
      </x:c>
      <x:c r="M126" s="38">
        <x:v>3.7</x:v>
      </x:c>
      <x:c r="N126" s="38">
        <x:v>0</x:v>
      </x:c>
      <x:c r="O126" s="38">
        <x:f t="shared" si="67"/>
        <x:v>0</x:v>
      </x:c>
      <x:c r="P126" s="38">
        <x:f t="shared" si="68"/>
        <x:v>1.395045666666667E-4</x:v>
      </x:c>
      <x:c r="Q126" s="38">
        <x:v>0</x:v>
      </x:c>
      <x:c r="R126" s="38">
        <x:v>0</x:v>
      </x:c>
      <x:c r="S126" s="38">
        <x:v>0</x:v>
      </x:c>
      <x:c r="T126" s="38">
        <x:v>0</x:v>
      </x:c>
      <x:c r="U126" s="38">
        <x:v>1</x:v>
      </x:c>
      <x:c r="V126" s="38">
        <x:f t="shared" si="69"/>
        <x:v>2.2222222222222222E-3</x:v>
      </x:c>
      <x:c r="W126" s="34">
        <x:v>1</x:v>
      </x:c>
      <x:c r="X126" s="36">
        <x:v>6000</x:v>
      </x:c>
      <x:c r="Y126" s="40">
        <x:v>11</x:v>
      </x:c>
      <x:c r="Z126" s="40">
        <x:v>25</x:v>
      </x:c>
      <x:c r="AA126" s="38">
        <x:f t="shared" si="70"/>
        <x:v>4.8484848484848492E-2</x:v>
      </x:c>
      <x:c r="AB126" s="41">
        <x:v>0.995</x:v>
      </x:c>
      <x:c r="AC126" s="38">
        <x:f t="shared" si="71"/>
        <x:v>5.1643513379354689E-2</x:v>
      </x:c>
    </x:row>
    <x:row r="127">
      <x:c r="A127" s="22" t="str">
        <x:v>MA60</x:v>
      </x:c>
      <x:c r="B127" s="22" t="s">
        <x:v>453</x:v>
      </x:c>
      <x:c r="C127" s="34">
        <x:v>10</x:v>
      </x:c>
      <x:c r="D127" s="34">
        <x:f t="shared" si="64"/>
        <x:v>360</x:v>
      </x:c>
      <x:c r="E127" s="22">
        <x:v>7</x:v>
      </x:c>
      <x:c r="F127" s="22">
        <x:v>22</x:v>
      </x:c>
      <x:c r="G127" s="22">
        <x:v>300</x:v>
      </x:c>
      <x:c r="H127" s="36">
        <x:v>45000</x:v>
      </x:c>
      <x:c r="I127" s="38">
        <x:f t="shared" si="65"/>
        <x:v>2.7056277056277051E-3</x:v>
      </x:c>
      <x:c r="J127" s="38">
        <x:v>0.62777055000000004</x:v>
      </x:c>
      <x:c r="K127" s="38">
        <x:v>0.5</x:v>
      </x:c>
      <x:c r="L127" s="38">
        <x:f t="shared" si="66"/>
        <x:v>8.7190354166666675E-4</x:v>
      </x:c>
      <x:c r="M127" s="38">
        <x:v>3.7</x:v>
      </x:c>
      <x:c r="N127" s="38">
        <x:v>0</x:v>
      </x:c>
      <x:c r="O127" s="38">
        <x:f t="shared" si="67"/>
        <x:v>0</x:v>
      </x:c>
      <x:c r="P127" s="38">
        <x:f t="shared" si="68"/>
        <x:v>8.7190354166666675E-4</x:v>
      </x:c>
      <x:c r="Q127" s="38">
        <x:v>0</x:v>
      </x:c>
      <x:c r="R127" s="38">
        <x:v>0</x:v>
      </x:c>
      <x:c r="S127" s="38">
        <x:v>0</x:v>
      </x:c>
      <x:c r="T127" s="38">
        <x:v>0</x:v>
      </x:c>
      <x:c r="U127" s="38">
        <x:v>1</x:v>
      </x:c>
      <x:c r="V127" s="38">
        <x:f t="shared" si="69"/>
        <x:v>2.7777777777777779E-3</x:v>
      </x:c>
      <x:c r="W127" s="34">
        <x:v>1</x:v>
      </x:c>
      <x:c r="X127" s="36">
        <x:v>6000</x:v>
      </x:c>
      <x:c r="Y127" s="40">
        <x:v>11</x:v>
      </x:c>
      <x:c r="Z127" s="40">
        <x:v>25</x:v>
      </x:c>
      <x:c r="AA127" s="38">
        <x:f t="shared" si="70"/>
        <x:v>6.0606060606060615E-2</x:v>
      </x:c>
      <x:c r="AB127" s="41">
        <x:v>0.99</x:v>
      </x:c>
      <x:c r="AC127" s="38">
        <x:f t="shared" si="71"/>
        <x:v>6.7637747102154311E-2</x:v>
      </x:c>
    </x:row>
    <x:row r="128">
      <x:c r="A128" s="22" t="str">
        <x:v>MA70</x:v>
      </x:c>
      <x:c r="B128" s="22" t="s">
        <x:v>454</x:v>
      </x:c>
      <x:c r="C128" s="34">
        <x:v>25</x:v>
      </x:c>
      <x:c r="D128" s="34">
        <x:f t="shared" si="64"/>
        <x:v>144</x:v>
      </x:c>
      <x:c r="E128" s="22">
        <x:v>7</x:v>
      </x:c>
      <x:c r="F128" s="22">
        <x:v>22</x:v>
      </x:c>
      <x:c r="G128" s="22">
        <x:v>300</x:v>
      </x:c>
      <x:c r="H128" s="36">
        <x:v>120000</x:v>
      </x:c>
      <x:c r="I128" s="38">
        <x:f t="shared" si="65"/>
        <x:v>1.8037518037518036E-2</x:v>
      </x:c>
      <x:c r="J128" s="38">
        <x:v>0.62777055000000004</x:v>
      </x:c>
      <x:c r="K128" s="38">
        <x:v>2</x:v>
      </x:c>
      <x:c r="L128" s="38">
        <x:f t="shared" si="66"/>
        <x:v>8.7190354166666664E-3</x:v>
      </x:c>
      <x:c r="M128" s="38">
        <x:v>3.7</x:v>
      </x:c>
      <x:c r="N128" s="38">
        <x:v>0</x:v>
      </x:c>
      <x:c r="O128" s="38">
        <x:f t="shared" si="67"/>
        <x:v>0</x:v>
      </x:c>
      <x:c r="P128" s="38">
        <x:f t="shared" si="68"/>
        <x:v>8.7190354166666664E-3</x:v>
      </x:c>
      <x:c r="Q128" s="38">
        <x:v>0</x:v>
      </x:c>
      <x:c r="R128" s="38">
        <x:v>0</x:v>
      </x:c>
      <x:c r="S128" s="38">
        <x:v>0</x:v>
      </x:c>
      <x:c r="T128" s="38">
        <x:v>0</x:v>
      </x:c>
      <x:c r="U128" s="38">
        <x:v>1</x:v>
      </x:c>
      <x:c r="V128" s="38">
        <x:f t="shared" si="69"/>
        <x:v>6.9444444444444441E-3</x:v>
      </x:c>
      <x:c r="W128" s="34">
        <x:v>1</x:v>
      </x:c>
      <x:c r="X128" s="36">
        <x:v>6000</x:v>
      </x:c>
      <x:c r="Y128" s="40">
        <x:v>11</x:v>
      </x:c>
      <x:c r="Z128" s="40">
        <x:v>25</x:v>
      </x:c>
      <x:c r="AA128" s="38">
        <x:f t="shared" si="70"/>
        <x:v>0.15151515151515152</x:v>
      </x:c>
      <x:c r="AB128" s="41">
        <x:v>0.98</x:v>
      </x:c>
      <x:c r="AC128" s="38">
        <x:f t="shared" si="71"/>
        <x:v>0.18899607083038844</x:v>
      </x:c>
    </x:row>
    <x:row r="129">
      <x:c r="A129" s="22" t="str">
        <x:v>MA80</x:v>
      </x:c>
      <x:c r="B129" s="22" t="s">
        <x:v>455</x:v>
      </x:c>
      <x:c r="C129" s="34">
        <x:v>12</x:v>
      </x:c>
      <x:c r="D129" s="34">
        <x:f t="shared" si="64"/>
        <x:v>300</x:v>
      </x:c>
      <x:c r="E129" s="22">
        <x:v>7</x:v>
      </x:c>
      <x:c r="F129" s="22">
        <x:v>22</x:v>
      </x:c>
      <x:c r="G129" s="22">
        <x:v>300</x:v>
      </x:c>
      <x:c r="H129" s="36">
        <x:v>28000</x:v>
      </x:c>
      <x:c r="I129" s="38">
        <x:f t="shared" si="65"/>
        <x:v>2.0202020202020202E-3</x:v>
      </x:c>
      <x:c r="J129" s="38">
        <x:v>0.62777055000000004</x:v>
      </x:c>
      <x:c r="K129" s="38">
        <x:v>1.5</x:v>
      </x:c>
      <x:c r="L129" s="38">
        <x:f t="shared" si="66"/>
        <x:v>3.1388527500000002E-3</x:v>
      </x:c>
      <x:c r="M129" s="38">
        <x:v>3.7</x:v>
      </x:c>
      <x:c r="N129" s="38">
        <x:v>0</x:v>
      </x:c>
      <x:c r="O129" s="38">
        <x:f t="shared" si="67"/>
        <x:v>0</x:v>
      </x:c>
      <x:c r="P129" s="38">
        <x:f t="shared" si="68"/>
        <x:v>3.1388527500000002E-3</x:v>
      </x:c>
      <x:c r="Q129" s="38">
        <x:v>0</x:v>
      </x:c>
      <x:c r="R129" s="38">
        <x:v>0</x:v>
      </x:c>
      <x:c r="S129" s="38">
        <x:v>0</x:v>
      </x:c>
      <x:c r="T129" s="38">
        <x:v>0</x:v>
      </x:c>
      <x:c r="U129" s="38">
        <x:v>1</x:v>
      </x:c>
      <x:c r="V129" s="38">
        <x:f t="shared" si="69"/>
        <x:v>3.3333333333333335E-3</x:v>
      </x:c>
      <x:c r="W129" s="34">
        <x:v>1</x:v>
      </x:c>
      <x:c r="X129" s="36">
        <x:v>6000</x:v>
      </x:c>
      <x:c r="Y129" s="40">
        <x:v>11</x:v>
      </x:c>
      <x:c r="Z129" s="40">
        <x:v>25</x:v>
      </x:c>
      <x:c r="AA129" s="38">
        <x:f t="shared" si="70"/>
        <x:v>7.2727272727272738E-2</x:v>
      </x:c>
      <x:c r="AB129" s="41">
        <x:v>0.99</x:v>
      </x:c>
      <x:c r="AC129" s="38">
        <x:f t="shared" si="71"/>
        <x:v>8.2040061445260701E-2</x:v>
      </x:c>
    </x:row>
    <x:row r="130">
      <x:c r="A130" s="22" t="str">
        <x:v>MA90</x:v>
      </x:c>
      <x:c r="B130" s="22" t="s">
        <x:v>456</x:v>
      </x:c>
      <x:c r="C130" s="34">
        <x:v>18</x:v>
      </x:c>
      <x:c r="D130" s="34">
        <x:f t="shared" si="64"/>
        <x:v>200</x:v>
      </x:c>
      <x:c r="E130" s="22">
        <x:v>5</x:v>
      </x:c>
      <x:c r="F130" s="22">
        <x:v>22</x:v>
      </x:c>
      <x:c r="G130" s="22">
        <x:v>300</x:v>
      </x:c>
      <x:c r="H130" s="36">
        <x:v>8000</x:v>
      </x:c>
      <x:c r="I130" s="38">
        <x:f t="shared" si="65"/>
        <x:v>1.2121212121212123E-3</x:v>
      </x:c>
      <x:c r="J130" s="38">
        <x:v>0.62777055000000004</x:v>
      </x:c>
      <x:c r="K130" s="38">
        <x:v>0.1</x:v>
      </x:c>
      <x:c r="L130" s="38">
        <x:f t="shared" si="66"/>
        <x:v>3.1388527500000006E-4</x:v>
      </x:c>
      <x:c r="M130" s="38">
        <x:v>3.7</x:v>
      </x:c>
      <x:c r="N130" s="38">
        <x:v>0</x:v>
      </x:c>
      <x:c r="O130" s="38">
        <x:f t="shared" si="67"/>
        <x:v>0</x:v>
      </x:c>
      <x:c r="P130" s="38">
        <x:f t="shared" si="68"/>
        <x:v>3.1388527500000006E-4</x:v>
      </x:c>
      <x:c r="Q130" s="38">
        <x:v>0</x:v>
      </x:c>
      <x:c r="R130" s="38">
        <x:v>0</x:v>
      </x:c>
      <x:c r="S130" s="38">
        <x:v>0</x:v>
      </x:c>
      <x:c r="T130" s="38">
        <x:v>0</x:v>
      </x:c>
      <x:c r="U130" s="38">
        <x:v>1</x:v>
      </x:c>
      <x:c r="V130" s="38">
        <x:f t="shared" si="69"/>
        <x:v>5.0000000000000001E-3</x:v>
      </x:c>
      <x:c r="W130" s="34">
        <x:v>1</x:v>
      </x:c>
      <x:c r="X130" s="36">
        <x:v>6000</x:v>
      </x:c>
      <x:c r="Y130" s="40">
        <x:v>11</x:v>
      </x:c>
      <x:c r="Z130" s="40">
        <x:v>25</x:v>
      </x:c>
      <x:c r="AA130" s="38">
        <x:f t="shared" si="70"/>
        <x:v>0.1090909090909091</x:v>
      </x:c>
      <x:c r="AB130" s="41">
        <x:v>0.98499999999999999</x:v>
      </x:c>
      <x:c r="AC130" s="38">
        <x:f t="shared" si="71"/>
        <x:v>0.11737757926703585</x:v>
      </x:c>
    </x:row>
    <x:row r="131">
      <x:c r="A131" s="22" t="str">
        <x:v>MA100</x:v>
      </x:c>
      <x:c r="B131" s="22" t="s">
        <x:v>457</x:v>
      </x:c>
      <x:c r="C131" s="34">
        <x:v>10</x:v>
      </x:c>
      <x:c r="D131" s="34">
        <x:f t="shared" si="64"/>
        <x:v>360</x:v>
      </x:c>
      <x:c r="E131" s="22">
        <x:v>5</x:v>
      </x:c>
      <x:c r="F131" s="22">
        <x:v>22</x:v>
      </x:c>
      <x:c r="G131" s="22">
        <x:v>300</x:v>
      </x:c>
      <x:c r="H131" s="36">
        <x:v>12000</x:v>
      </x:c>
      <x:c r="I131" s="38">
        <x:f t="shared" si="65"/>
        <x:v>1.0101010101010101E-3</x:v>
      </x:c>
      <x:c r="J131" s="38">
        <x:v>0.62777055000000004</x:v>
      </x:c>
      <x:c r="K131" s="38">
        <x:v>0.2</x:v>
      </x:c>
      <x:c r="L131" s="38">
        <x:f t="shared" si="66"/>
        <x:v>3.4876141666666672E-4</x:v>
      </x:c>
      <x:c r="M131" s="38">
        <x:v>3.7</x:v>
      </x:c>
      <x:c r="N131" s="38">
        <x:v>0</x:v>
      </x:c>
      <x:c r="O131" s="38">
        <x:f t="shared" si="67"/>
        <x:v>0</x:v>
      </x:c>
      <x:c r="P131" s="38">
        <x:f t="shared" si="68"/>
        <x:v>3.4876141666666672E-4</x:v>
      </x:c>
      <x:c r="Q131" s="38">
        <x:v>0</x:v>
      </x:c>
      <x:c r="R131" s="38">
        <x:v>0</x:v>
      </x:c>
      <x:c r="S131" s="38">
        <x:v>0</x:v>
      </x:c>
      <x:c r="T131" s="38">
        <x:v>0</x:v>
      </x:c>
      <x:c r="U131" s="38">
        <x:v>1</x:v>
      </x:c>
      <x:c r="V131" s="38">
        <x:f t="shared" si="69"/>
        <x:v>2.7777777777777779E-3</x:v>
      </x:c>
      <x:c r="W131" s="34">
        <x:v>1</x:v>
      </x:c>
      <x:c r="X131" s="36">
        <x:v>6000</x:v>
      </x:c>
      <x:c r="Y131" s="40">
        <x:v>11</x:v>
      </x:c>
      <x:c r="Z131" s="40">
        <x:v>25</x:v>
      </x:c>
      <x:c r="AA131" s="38">
        <x:f t="shared" si="70"/>
        <x:v>6.0606060606060615E-2</x:v>
      </x:c>
      <x:c r="AB131" s="41">
        <x:v>0.995</x:v>
      </x:c>
      <x:c r="AC131" s="38">
        <x:f t="shared" si="71"/>
        <x:v>6.5068041015684489E-2</x:v>
      </x:c>
    </x:row>
    <x:row r="132">
      <x:c r="A132" s="22"/>
      <x:c r="B132" s="22"/>
      <x:c r="C132" s="34"/>
      <x:c r="D132" s="34"/>
      <x:c r="E132" s="22"/>
      <x:c r="F132" s="22"/>
      <x:c r="G132" s="22"/>
      <x:c r="H132" s="36"/>
      <x:c r="I132" s="38"/>
      <x:c r="J132" s="38"/>
      <x:c r="K132" s="38"/>
      <x:c r="L132" s="38"/>
      <x:c r="M132" s="38"/>
      <x:c r="N132" s="38"/>
      <x:c r="O132" s="38"/>
      <x:c r="P132" s="38"/>
      <x:c r="Q132" s="38"/>
      <x:c r="R132" s="38"/>
      <x:c r="S132" s="38"/>
      <x:c r="T132" s="38"/>
      <x:c r="U132" s="38"/>
      <x:c r="V132" s="38"/>
      <x:c r="W132" s="34"/>
      <x:c r="X132" s="36"/>
      <x:c r="Y132" s="40"/>
      <x:c r="Z132" s="40"/>
      <x:c r="AA132" s="38"/>
      <x:c r="AB132" s="41"/>
      <x:c r="AC132" s="38"/>
    </x:row>
    <x:row r="133">
      <x:c r="A133" s="22"/>
      <x:c r="B133" s="22"/>
      <x:c r="C133" s="34"/>
      <x:c r="D133" s="34"/>
      <x:c r="E133" s="22"/>
      <x:c r="F133" s="22"/>
      <x:c r="G133" s="22"/>
      <x:c r="H133" s="36"/>
      <x:c r="I133" s="38"/>
      <x:c r="J133" s="38"/>
      <x:c r="K133" s="38"/>
      <x:c r="L133" s="38"/>
      <x:c r="M133" s="38"/>
      <x:c r="N133" s="38"/>
      <x:c r="O133" s="38"/>
      <x:c r="P133" s="38"/>
      <x:c r="Q133" s="38"/>
      <x:c r="R133" s="38"/>
      <x:c r="S133" s="38"/>
      <x:c r="T133" s="38"/>
      <x:c r="U133" s="38"/>
      <x:c r="V133" s="38"/>
      <x:c r="W133" s="34"/>
      <x:c r="X133" s="36"/>
      <x:c r="Y133" s="40"/>
      <x:c r="Z133" s="40"/>
      <x:c r="AA133" s="38"/>
      <x:c r="AB133" s="41"/>
      <x:c r="AC133" s="38"/>
    </x:row>
    <x:row r="134">
      <x:c r="A134" s="22"/>
      <x:c r="B134" s="22"/>
      <x:c r="C134" s="34"/>
      <x:c r="D134" s="34"/>
      <x:c r="E134" s="22"/>
      <x:c r="F134" s="22"/>
      <x:c r="G134" s="22"/>
      <x:c r="H134" s="36"/>
      <x:c r="I134" s="38"/>
      <x:c r="J134" s="38"/>
      <x:c r="K134" s="38"/>
      <x:c r="L134" s="38"/>
      <x:c r="M134" s="38"/>
      <x:c r="N134" s="38"/>
      <x:c r="O134" s="38"/>
      <x:c r="P134" s="38"/>
      <x:c r="Q134" s="38"/>
      <x:c r="R134" s="38"/>
      <x:c r="S134" s="38"/>
      <x:c r="T134" s="38"/>
      <x:c r="U134" s="38"/>
      <x:c r="V134" s="38"/>
      <x:c r="W134" s="34"/>
      <x:c r="X134" s="36"/>
      <x:c r="Y134" s="40"/>
      <x:c r="Z134" s="40"/>
      <x:c r="AA134" s="38"/>
      <x:c r="AB134" s="41"/>
      <x:c r="AC134" s="38"/>
    </x:row>
    <x:row r="135">
      <x:c r="A135" s="22"/>
      <x:c r="B135" s="22"/>
      <x:c r="C135" s="34"/>
      <x:c r="D135" s="34"/>
      <x:c r="E135" s="22"/>
      <x:c r="F135" s="22"/>
      <x:c r="G135" s="22"/>
      <x:c r="H135" s="36"/>
      <x:c r="I135" s="38"/>
      <x:c r="J135" s="38"/>
      <x:c r="K135" s="38"/>
      <x:c r="L135" s="38"/>
      <x:c r="M135" s="38"/>
      <x:c r="N135" s="38"/>
      <x:c r="O135" s="38"/>
      <x:c r="P135" s="38"/>
      <x:c r="Q135" s="38"/>
      <x:c r="R135" s="38"/>
      <x:c r="S135" s="38"/>
      <x:c r="T135" s="38"/>
      <x:c r="U135" s="38"/>
      <x:c r="V135" s="38"/>
      <x:c r="W135" s="34"/>
      <x:c r="X135" s="36"/>
      <x:c r="Y135" s="40"/>
      <x:c r="Z135" s="40"/>
      <x:c r="AA135" s="38"/>
      <x:c r="AB135" s="41"/>
      <x:c r="AC135" s="38"/>
    </x:row>
    <x:row r="136">
      <x:c r="A136" s="22"/>
      <x:c r="B136" s="22"/>
      <x:c r="C136" s="34"/>
      <x:c r="D136" s="34"/>
      <x:c r="E136" s="22"/>
      <x:c r="F136" s="22"/>
      <x:c r="G136" s="22"/>
      <x:c r="H136" s="36"/>
      <x:c r="I136" s="38"/>
      <x:c r="J136" s="38"/>
      <x:c r="K136" s="38"/>
      <x:c r="L136" s="38"/>
      <x:c r="M136" s="38"/>
      <x:c r="N136" s="38"/>
      <x:c r="O136" s="38"/>
      <x:c r="P136" s="38"/>
      <x:c r="Q136" s="38"/>
      <x:c r="R136" s="38"/>
      <x:c r="S136" s="38"/>
      <x:c r="T136" s="38"/>
      <x:c r="U136" s="38"/>
      <x:c r="V136" s="38"/>
      <x:c r="W136" s="34"/>
      <x:c r="X136" s="36"/>
      <x:c r="Y136" s="40"/>
      <x:c r="Z136" s="40"/>
      <x:c r="AA136" s="38"/>
      <x:c r="AB136" s="41"/>
      <x:c r="AC136" s="38"/>
    </x:row>
    <x:row r="137">
      <x:c r="A137" s="22"/>
      <x:c r="B137" s="22"/>
      <x:c r="C137" s="34"/>
      <x:c r="D137" s="34"/>
      <x:c r="E137" s="22"/>
      <x:c r="F137" s="22"/>
      <x:c r="G137" s="22"/>
      <x:c r="H137" s="36"/>
      <x:c r="I137" s="38"/>
      <x:c r="J137" s="38"/>
      <x:c r="K137" s="38"/>
      <x:c r="L137" s="38"/>
      <x:c r="M137" s="38"/>
      <x:c r="N137" s="38"/>
      <x:c r="O137" s="38"/>
      <x:c r="P137" s="38"/>
      <x:c r="Q137" s="38"/>
      <x:c r="R137" s="38"/>
      <x:c r="S137" s="38"/>
      <x:c r="T137" s="38"/>
      <x:c r="U137" s="38"/>
      <x:c r="V137" s="38"/>
      <x:c r="W137" s="34"/>
      <x:c r="X137" s="36"/>
      <x:c r="Y137" s="40"/>
      <x:c r="Z137" s="40"/>
      <x:c r="AA137" s="38"/>
      <x:c r="AB137" s="41"/>
      <x:c r="AC137" s="38"/>
    </x:row>
    <x:row r="138">
      <x:c r="A138" s="22"/>
      <x:c r="B138" s="22"/>
      <x:c r="C138" s="34"/>
      <x:c r="D138" s="34"/>
      <x:c r="E138" s="22"/>
      <x:c r="F138" s="22"/>
      <x:c r="G138" s="22"/>
      <x:c r="H138" s="36"/>
      <x:c r="I138" s="38"/>
      <x:c r="J138" s="38"/>
      <x:c r="K138" s="38"/>
      <x:c r="L138" s="38"/>
      <x:c r="M138" s="38"/>
      <x:c r="N138" s="38"/>
      <x:c r="O138" s="38"/>
      <x:c r="P138" s="38"/>
      <x:c r="Q138" s="38"/>
      <x:c r="R138" s="38"/>
      <x:c r="S138" s="38"/>
      <x:c r="T138" s="38"/>
      <x:c r="U138" s="38"/>
      <x:c r="V138" s="38"/>
      <x:c r="W138" s="34"/>
      <x:c r="X138" s="36"/>
      <x:c r="Y138" s="40"/>
      <x:c r="Z138" s="40"/>
      <x:c r="AA138" s="38"/>
      <x:c r="AB138" s="41"/>
      <x:c r="AC138" s="38"/>
    </x:row>
    <x:row r="139">
      <x:c r="A139" s="22"/>
      <x:c r="B139" s="22"/>
      <x:c r="C139" s="34"/>
      <x:c r="D139" s="34"/>
      <x:c r="E139" s="22"/>
      <x:c r="F139" s="22"/>
      <x:c r="G139" s="22"/>
      <x:c r="H139" s="36"/>
      <x:c r="I139" s="38"/>
      <x:c r="J139" s="38"/>
      <x:c r="K139" s="38"/>
      <x:c r="L139" s="38"/>
      <x:c r="M139" s="38"/>
      <x:c r="N139" s="38"/>
      <x:c r="O139" s="38"/>
      <x:c r="P139" s="38"/>
      <x:c r="Q139" s="38"/>
      <x:c r="R139" s="38"/>
      <x:c r="S139" s="38"/>
      <x:c r="T139" s="38"/>
      <x:c r="U139" s="38"/>
      <x:c r="V139" s="38"/>
      <x:c r="W139" s="34"/>
      <x:c r="X139" s="36"/>
      <x:c r="Y139" s="40"/>
      <x:c r="Z139" s="40"/>
      <x:c r="AA139" s="38"/>
      <x:c r="AB139" s="41"/>
      <x:c r="AC139" s="38"/>
    </x:row>
    <x:row r="140">
      <x:c r="A140" s="22"/>
      <x:c r="B140" s="22"/>
      <x:c r="C140" s="34"/>
      <x:c r="D140" s="34"/>
      <x:c r="E140" s="22"/>
      <x:c r="F140" s="22"/>
      <x:c r="G140" s="22"/>
      <x:c r="H140" s="36"/>
      <x:c r="I140" s="38"/>
      <x:c r="J140" s="38"/>
      <x:c r="K140" s="38"/>
      <x:c r="L140" s="38"/>
      <x:c r="M140" s="38"/>
      <x:c r="N140" s="38"/>
      <x:c r="O140" s="38"/>
      <x:c r="P140" s="38"/>
      <x:c r="Q140" s="38"/>
      <x:c r="R140" s="38"/>
      <x:c r="S140" s="38"/>
      <x:c r="T140" s="38"/>
      <x:c r="U140" s="38"/>
      <x:c r="V140" s="38"/>
      <x:c r="W140" s="34"/>
      <x:c r="X140" s="36"/>
      <x:c r="Y140" s="40"/>
      <x:c r="Z140" s="40"/>
      <x:c r="AA140" s="38"/>
      <x:c r="AB140" s="41"/>
      <x:c r="AC140" s="38"/>
    </x:row>
    <x:row r="141">
      <x:c r="A141" s="22"/>
      <x:c r="B141" s="22"/>
      <x:c r="C141" s="34"/>
      <x:c r="D141" s="34"/>
      <x:c r="E141" s="22"/>
      <x:c r="F141" s="22"/>
      <x:c r="G141" s="22"/>
      <x:c r="H141" s="36"/>
      <x:c r="I141" s="38"/>
      <x:c r="J141" s="38"/>
      <x:c r="K141" s="38"/>
      <x:c r="L141" s="38"/>
      <x:c r="M141" s="38"/>
      <x:c r="N141" s="38"/>
      <x:c r="O141" s="38"/>
      <x:c r="P141" s="38"/>
      <x:c r="Q141" s="38"/>
      <x:c r="R141" s="38"/>
      <x:c r="S141" s="38"/>
      <x:c r="T141" s="38"/>
      <x:c r="U141" s="38"/>
      <x:c r="V141" s="38"/>
      <x:c r="W141" s="34"/>
      <x:c r="X141" s="36"/>
      <x:c r="Y141" s="40"/>
      <x:c r="Z141" s="40"/>
      <x:c r="AA141" s="38"/>
      <x:c r="AB141" s="41"/>
      <x:c r="AC141" s="38"/>
    </x:row>
    <x:row r="142">
      <x:c r="A142" s="22"/>
      <x:c r="B142" s="22"/>
      <x:c r="C142" s="34"/>
      <x:c r="D142" s="34"/>
      <x:c r="E142" s="22"/>
      <x:c r="F142" s="22"/>
      <x:c r="G142" s="22"/>
      <x:c r="H142" s="36"/>
      <x:c r="I142" s="38"/>
      <x:c r="J142" s="38"/>
      <x:c r="K142" s="38"/>
      <x:c r="L142" s="38"/>
      <x:c r="M142" s="38"/>
      <x:c r="N142" s="38"/>
      <x:c r="O142" s="38"/>
      <x:c r="P142" s="38"/>
      <x:c r="Q142" s="38"/>
      <x:c r="R142" s="38"/>
      <x:c r="S142" s="38"/>
      <x:c r="T142" s="38"/>
      <x:c r="U142" s="38"/>
      <x:c r="V142" s="38"/>
      <x:c r="W142" s="34"/>
      <x:c r="X142" s="36"/>
      <x:c r="Y142" s="40"/>
      <x:c r="Z142" s="40"/>
      <x:c r="AA142" s="38"/>
      <x:c r="AB142" s="41"/>
      <x:c r="AC142" s="38"/>
    </x:row>
    <x:row r="143">
      <x:c r="A143" s="22"/>
      <x:c r="B143" s="22"/>
      <x:c r="C143" s="34"/>
      <x:c r="D143" s="34"/>
      <x:c r="E143" s="22"/>
      <x:c r="F143" s="22"/>
      <x:c r="G143" s="22"/>
      <x:c r="H143" s="36"/>
      <x:c r="I143" s="38"/>
      <x:c r="J143" s="38"/>
      <x:c r="K143" s="38"/>
      <x:c r="L143" s="38"/>
      <x:c r="M143" s="38"/>
      <x:c r="N143" s="38"/>
      <x:c r="O143" s="38"/>
      <x:c r="P143" s="38"/>
      <x:c r="Q143" s="38"/>
      <x:c r="R143" s="38"/>
      <x:c r="S143" s="38"/>
      <x:c r="T143" s="38"/>
      <x:c r="U143" s="38"/>
      <x:c r="V143" s="38"/>
      <x:c r="W143" s="34"/>
      <x:c r="X143" s="36"/>
      <x:c r="Y143" s="40"/>
      <x:c r="Z143" s="40"/>
      <x:c r="AA143" s="38"/>
      <x:c r="AB143" s="41"/>
      <x:c r="AC143" s="38"/>
    </x:row>
    <x:row r="144">
      <x:c r="A144" s="22"/>
      <x:c r="B144" s="22"/>
      <x:c r="C144" s="34"/>
      <x:c r="D144" s="34"/>
      <x:c r="E144" s="22"/>
      <x:c r="F144" s="22"/>
      <x:c r="G144" s="22"/>
      <x:c r="H144" s="36"/>
      <x:c r="I144" s="38"/>
      <x:c r="J144" s="38"/>
      <x:c r="K144" s="38"/>
      <x:c r="L144" s="38"/>
      <x:c r="M144" s="38"/>
      <x:c r="N144" s="38"/>
      <x:c r="O144" s="38"/>
      <x:c r="P144" s="38"/>
      <x:c r="Q144" s="38"/>
      <x:c r="R144" s="38"/>
      <x:c r="S144" s="38"/>
      <x:c r="T144" s="38"/>
      <x:c r="U144" s="38"/>
      <x:c r="V144" s="38"/>
      <x:c r="W144" s="34"/>
      <x:c r="X144" s="36"/>
      <x:c r="Y144" s="40"/>
      <x:c r="Z144" s="40"/>
      <x:c r="AA144" s="38"/>
      <x:c r="AB144" s="41"/>
      <x:c r="AC144" s="38"/>
    </x:row>
    <x:row r="145">
      <x:c r="A145" s="22"/>
      <x:c r="B145" s="22"/>
      <x:c r="C145" s="34"/>
      <x:c r="D145" s="34"/>
      <x:c r="E145" s="22"/>
      <x:c r="F145" s="22"/>
      <x:c r="G145" s="22"/>
      <x:c r="H145" s="36"/>
      <x:c r="I145" s="38"/>
      <x:c r="J145" s="38"/>
      <x:c r="K145" s="38"/>
      <x:c r="L145" s="38"/>
      <x:c r="M145" s="38"/>
      <x:c r="N145" s="38"/>
      <x:c r="O145" s="38"/>
      <x:c r="P145" s="38"/>
      <x:c r="Q145" s="38"/>
      <x:c r="R145" s="38"/>
      <x:c r="S145" s="38"/>
      <x:c r="T145" s="38"/>
      <x:c r="U145" s="38"/>
      <x:c r="V145" s="38"/>
      <x:c r="W145" s="34"/>
      <x:c r="X145" s="36"/>
      <x:c r="Y145" s="40"/>
      <x:c r="Z145" s="40"/>
      <x:c r="AA145" s="38"/>
      <x:c r="AB145" s="41"/>
      <x:c r="AC145" s="38"/>
    </x:row>
    <x:row r="146">
      <x:c r="A146" s="22"/>
      <x:c r="B146" s="22"/>
      <x:c r="C146" s="34"/>
      <x:c r="D146" s="34"/>
      <x:c r="E146" s="22"/>
      <x:c r="F146" s="22"/>
      <x:c r="G146" s="22"/>
      <x:c r="H146" s="36"/>
      <x:c r="I146" s="38"/>
      <x:c r="J146" s="38"/>
      <x:c r="K146" s="38"/>
      <x:c r="L146" s="38"/>
      <x:c r="M146" s="38"/>
      <x:c r="N146" s="38"/>
      <x:c r="O146" s="38"/>
      <x:c r="P146" s="38"/>
      <x:c r="Q146" s="38"/>
      <x:c r="R146" s="38"/>
      <x:c r="S146" s="38"/>
      <x:c r="T146" s="38"/>
      <x:c r="U146" s="38"/>
      <x:c r="V146" s="38"/>
      <x:c r="W146" s="34"/>
      <x:c r="X146" s="36"/>
      <x:c r="Y146" s="40"/>
      <x:c r="Z146" s="40"/>
      <x:c r="AA146" s="38"/>
      <x:c r="AB146" s="41"/>
      <x:c r="AC146" s="38"/>
    </x:row>
    <x:row r="147">
      <x:c r="A147" s="22"/>
      <x:c r="B147" s="22"/>
      <x:c r="C147" s="34"/>
      <x:c r="D147" s="34"/>
      <x:c r="E147" s="22"/>
      <x:c r="F147" s="22"/>
      <x:c r="G147" s="22"/>
      <x:c r="H147" s="36"/>
      <x:c r="I147" s="38"/>
      <x:c r="J147" s="38"/>
      <x:c r="K147" s="38"/>
      <x:c r="L147" s="38"/>
      <x:c r="M147" s="38"/>
      <x:c r="N147" s="38"/>
      <x:c r="O147" s="38"/>
      <x:c r="P147" s="38"/>
      <x:c r="Q147" s="38"/>
      <x:c r="R147" s="38"/>
      <x:c r="S147" s="38"/>
      <x:c r="T147" s="38"/>
      <x:c r="U147" s="38"/>
      <x:c r="V147" s="38"/>
      <x:c r="W147" s="34"/>
      <x:c r="X147" s="36"/>
      <x:c r="Y147" s="40"/>
      <x:c r="Z147" s="40"/>
      <x:c r="AA147" s="38"/>
      <x:c r="AB147" s="41"/>
      <x:c r="AC147" s="38"/>
    </x:row>
    <x:row r="148">
      <x:c r="A148" s="22"/>
      <x:c r="B148" s="22"/>
      <x:c r="C148" s="34"/>
      <x:c r="D148" s="34"/>
      <x:c r="E148" s="22"/>
      <x:c r="F148" s="22"/>
      <x:c r="G148" s="22"/>
      <x:c r="H148" s="36"/>
      <x:c r="I148" s="38"/>
      <x:c r="J148" s="38"/>
      <x:c r="K148" s="38"/>
      <x:c r="L148" s="38"/>
      <x:c r="M148" s="38"/>
      <x:c r="N148" s="38"/>
      <x:c r="O148" s="38"/>
      <x:c r="P148" s="38"/>
      <x:c r="Q148" s="38"/>
      <x:c r="R148" s="38"/>
      <x:c r="S148" s="38"/>
      <x:c r="T148" s="38"/>
      <x:c r="U148" s="38"/>
      <x:c r="V148" s="38"/>
      <x:c r="W148" s="34"/>
      <x:c r="X148" s="36"/>
      <x:c r="Y148" s="40"/>
      <x:c r="Z148" s="40"/>
      <x:c r="AA148" s="38"/>
      <x:c r="AB148" s="41"/>
      <x:c r="AC148" s="38"/>
    </x:row>
    <x:row r="149">
      <x:c r="A149" s="22"/>
      <x:c r="B149" s="22"/>
      <x:c r="C149" s="34"/>
      <x:c r="D149" s="34"/>
      <x:c r="E149" s="22"/>
      <x:c r="F149" s="22"/>
      <x:c r="G149" s="22"/>
      <x:c r="H149" s="36"/>
      <x:c r="I149" s="38"/>
      <x:c r="J149" s="38"/>
      <x:c r="K149" s="38"/>
      <x:c r="L149" s="38"/>
      <x:c r="M149" s="38"/>
      <x:c r="N149" s="38"/>
      <x:c r="O149" s="38"/>
      <x:c r="P149" s="38"/>
      <x:c r="Q149" s="38"/>
      <x:c r="R149" s="38"/>
      <x:c r="S149" s="38"/>
      <x:c r="T149" s="38"/>
      <x:c r="U149" s="38"/>
      <x:c r="V149" s="38"/>
      <x:c r="W149" s="34"/>
      <x:c r="X149" s="36"/>
      <x:c r="Y149" s="40"/>
      <x:c r="Z149" s="40"/>
      <x:c r="AA149" s="38"/>
      <x:c r="AB149" s="41"/>
      <x:c r="AC149" s="38"/>
    </x:row>
    <x:row r="150">
      <x:c r="A150" s="22"/>
      <x:c r="B150" s="22"/>
      <x:c r="C150" s="34"/>
      <x:c r="D150" s="34"/>
      <x:c r="E150" s="22"/>
      <x:c r="F150" s="22"/>
      <x:c r="G150" s="22"/>
      <x:c r="H150" s="36"/>
      <x:c r="I150" s="38"/>
      <x:c r="J150" s="38"/>
      <x:c r="K150" s="38"/>
      <x:c r="L150" s="38"/>
      <x:c r="M150" s="38"/>
      <x:c r="N150" s="38"/>
      <x:c r="O150" s="38"/>
      <x:c r="P150" s="38"/>
      <x:c r="Q150" s="38"/>
      <x:c r="R150" s="38"/>
      <x:c r="S150" s="38"/>
      <x:c r="T150" s="38"/>
      <x:c r="U150" s="38"/>
      <x:c r="V150" s="38"/>
      <x:c r="W150" s="34"/>
      <x:c r="X150" s="36"/>
      <x:c r="Y150" s="40"/>
      <x:c r="Z150" s="40"/>
      <x:c r="AA150" s="38"/>
      <x:c r="AB150" s="41"/>
      <x:c r="AC150" s="38"/>
    </x:row>
    <x:row r="151">
      <x:c r="A151" s="22"/>
      <x:c r="B151" s="22"/>
      <x:c r="C151" s="34"/>
      <x:c r="D151" s="34"/>
      <x:c r="E151" s="22"/>
      <x:c r="F151" s="22"/>
      <x:c r="G151" s="22"/>
      <x:c r="H151" s="36"/>
      <x:c r="I151" s="38"/>
      <x:c r="J151" s="38"/>
      <x:c r="K151" s="38"/>
      <x:c r="L151" s="38"/>
      <x:c r="M151" s="38"/>
      <x:c r="N151" s="38"/>
      <x:c r="O151" s="38"/>
      <x:c r="P151" s="38"/>
      <x:c r="Q151" s="38"/>
      <x:c r="R151" s="38"/>
      <x:c r="S151" s="38"/>
      <x:c r="T151" s="38"/>
      <x:c r="U151" s="38"/>
      <x:c r="V151" s="38"/>
      <x:c r="W151" s="34"/>
      <x:c r="X151" s="36"/>
      <x:c r="Y151" s="40"/>
      <x:c r="Z151" s="40"/>
      <x:c r="AA151" s="38"/>
      <x:c r="AB151" s="41"/>
      <x:c r="AC151" s="38"/>
    </x:row>
    <x:row r="152">
      <x:c r="A152" s="22"/>
      <x:c r="B152" s="22"/>
      <x:c r="C152" s="34"/>
      <x:c r="D152" s="34"/>
      <x:c r="E152" s="22"/>
      <x:c r="F152" s="22"/>
      <x:c r="G152" s="22"/>
      <x:c r="H152" s="36"/>
      <x:c r="I152" s="38"/>
      <x:c r="J152" s="38"/>
      <x:c r="K152" s="38"/>
      <x:c r="L152" s="38"/>
      <x:c r="M152" s="38"/>
      <x:c r="N152" s="38"/>
      <x:c r="O152" s="38"/>
      <x:c r="P152" s="38"/>
      <x:c r="Q152" s="38"/>
      <x:c r="R152" s="38"/>
      <x:c r="S152" s="38"/>
      <x:c r="T152" s="38"/>
      <x:c r="U152" s="38"/>
      <x:c r="V152" s="38"/>
      <x:c r="W152" s="34"/>
      <x:c r="X152" s="36"/>
      <x:c r="Y152" s="40"/>
      <x:c r="Z152" s="40"/>
      <x:c r="AA152" s="38"/>
      <x:c r="AB152" s="41"/>
      <x:c r="AC152" s="38"/>
    </x:row>
    <x:row r="153">
      <x:c r="A153" s="22"/>
      <x:c r="B153" s="22"/>
      <x:c r="C153" s="34"/>
      <x:c r="D153" s="34"/>
      <x:c r="E153" s="22"/>
      <x:c r="F153" s="22"/>
      <x:c r="G153" s="22"/>
      <x:c r="H153" s="36"/>
      <x:c r="I153" s="38"/>
      <x:c r="J153" s="38"/>
      <x:c r="K153" s="38"/>
      <x:c r="L153" s="38"/>
      <x:c r="M153" s="38"/>
      <x:c r="N153" s="38"/>
      <x:c r="O153" s="38"/>
      <x:c r="P153" s="38"/>
      <x:c r="Q153" s="38"/>
      <x:c r="R153" s="38"/>
      <x:c r="S153" s="38"/>
      <x:c r="T153" s="38"/>
      <x:c r="U153" s="38"/>
      <x:c r="V153" s="38"/>
      <x:c r="W153" s="34"/>
      <x:c r="X153" s="36"/>
      <x:c r="Y153" s="40"/>
      <x:c r="Z153" s="40"/>
      <x:c r="AA153" s="38"/>
      <x:c r="AB153" s="41"/>
      <x:c r="AC153" s="38"/>
    </x:row>
    <x:row r="154">
      <x:c r="A154" s="22"/>
      <x:c r="B154" s="22"/>
      <x:c r="C154" s="34"/>
      <x:c r="D154" s="34"/>
      <x:c r="E154" s="22"/>
      <x:c r="F154" s="22"/>
      <x:c r="G154" s="22"/>
      <x:c r="H154" s="36"/>
      <x:c r="I154" s="38"/>
      <x:c r="J154" s="38"/>
      <x:c r="K154" s="38"/>
      <x:c r="L154" s="38"/>
      <x:c r="M154" s="38"/>
      <x:c r="N154" s="38"/>
      <x:c r="O154" s="38"/>
      <x:c r="P154" s="38"/>
      <x:c r="Q154" s="38"/>
      <x:c r="R154" s="38"/>
      <x:c r="S154" s="38"/>
      <x:c r="T154" s="38"/>
      <x:c r="U154" s="38"/>
      <x:c r="V154" s="38"/>
      <x:c r="W154" s="34"/>
      <x:c r="X154" s="36"/>
      <x:c r="Y154" s="40"/>
      <x:c r="Z154" s="40"/>
      <x:c r="AA154" s="38"/>
      <x:c r="AB154" s="41"/>
      <x:c r="AC154" s="38"/>
    </x:row>
    <x:row r="155">
      <x:c r="A155" s="22"/>
      <x:c r="B155" s="22"/>
      <x:c r="C155" s="34"/>
      <x:c r="D155" s="34"/>
      <x:c r="E155" s="22"/>
      <x:c r="F155" s="22"/>
      <x:c r="G155" s="22"/>
      <x:c r="H155" s="36"/>
      <x:c r="I155" s="38"/>
      <x:c r="J155" s="38"/>
      <x:c r="K155" s="38"/>
      <x:c r="L155" s="38"/>
      <x:c r="M155" s="38"/>
      <x:c r="N155" s="38"/>
      <x:c r="O155" s="38"/>
      <x:c r="P155" s="38"/>
      <x:c r="Q155" s="38"/>
      <x:c r="R155" s="38"/>
      <x:c r="S155" s="38"/>
      <x:c r="T155" s="38"/>
      <x:c r="U155" s="38"/>
      <x:c r="V155" s="38"/>
      <x:c r="W155" s="34"/>
      <x:c r="X155" s="36"/>
      <x:c r="Y155" s="40"/>
      <x:c r="Z155" s="40"/>
      <x:c r="AA155" s="38"/>
      <x:c r="AB155" s="41"/>
      <x:c r="AC155" s="38"/>
    </x:row>
    <x:row r="156">
      <x:c r="A156" s="22"/>
      <x:c r="B156" s="22"/>
      <x:c r="C156" s="34"/>
      <x:c r="D156" s="34"/>
      <x:c r="E156" s="22"/>
      <x:c r="F156" s="22"/>
      <x:c r="G156" s="22"/>
      <x:c r="H156" s="36"/>
      <x:c r="I156" s="38"/>
      <x:c r="J156" s="38"/>
      <x:c r="K156" s="38"/>
      <x:c r="L156" s="38"/>
      <x:c r="M156" s="38"/>
      <x:c r="N156" s="38"/>
      <x:c r="O156" s="38"/>
      <x:c r="P156" s="38"/>
      <x:c r="Q156" s="38"/>
      <x:c r="R156" s="38"/>
      <x:c r="S156" s="38"/>
      <x:c r="T156" s="38"/>
      <x:c r="U156" s="38"/>
      <x:c r="V156" s="38"/>
      <x:c r="W156" s="34"/>
      <x:c r="X156" s="36"/>
      <x:c r="Y156" s="40"/>
      <x:c r="Z156" s="40"/>
      <x:c r="AA156" s="38"/>
      <x:c r="AB156" s="41"/>
      <x:c r="AC156" s="38"/>
    </x:row>
    <x:row r="157">
      <x:c r="A157" s="22"/>
      <x:c r="B157" s="22"/>
      <x:c r="C157" s="34"/>
      <x:c r="D157" s="34"/>
      <x:c r="E157" s="22"/>
      <x:c r="F157" s="22"/>
      <x:c r="G157" s="22"/>
      <x:c r="H157" s="36"/>
      <x:c r="I157" s="38"/>
      <x:c r="J157" s="38"/>
      <x:c r="K157" s="38"/>
      <x:c r="L157" s="38"/>
      <x:c r="M157" s="38"/>
      <x:c r="N157" s="38"/>
      <x:c r="O157" s="38"/>
      <x:c r="P157" s="38"/>
      <x:c r="Q157" s="38"/>
      <x:c r="R157" s="38"/>
      <x:c r="S157" s="38"/>
      <x:c r="T157" s="38"/>
      <x:c r="U157" s="38"/>
      <x:c r="V157" s="38"/>
      <x:c r="W157" s="34"/>
      <x:c r="X157" s="36"/>
      <x:c r="Y157" s="40"/>
      <x:c r="Z157" s="40"/>
      <x:c r="AA157" s="38"/>
      <x:c r="AB157" s="41"/>
      <x:c r="AC157" s="38"/>
    </x:row>
    <x:row r="158">
      <x:c r="A158" s="22"/>
      <x:c r="B158" s="22"/>
      <x:c r="C158" s="34"/>
      <x:c r="D158" s="34"/>
      <x:c r="E158" s="22"/>
      <x:c r="F158" s="22"/>
      <x:c r="G158" s="22"/>
      <x:c r="H158" s="36"/>
      <x:c r="I158" s="38"/>
      <x:c r="J158" s="38"/>
      <x:c r="K158" s="38"/>
      <x:c r="L158" s="38"/>
      <x:c r="M158" s="38"/>
      <x:c r="N158" s="38"/>
      <x:c r="O158" s="38"/>
      <x:c r="P158" s="38"/>
      <x:c r="Q158" s="38"/>
      <x:c r="R158" s="38"/>
      <x:c r="S158" s="38"/>
      <x:c r="T158" s="38"/>
      <x:c r="U158" s="38"/>
      <x:c r="V158" s="38"/>
      <x:c r="W158" s="34"/>
      <x:c r="X158" s="36"/>
      <x:c r="Y158" s="40"/>
      <x:c r="Z158" s="40"/>
      <x:c r="AA158" s="38"/>
      <x:c r="AB158" s="41"/>
      <x:c r="AC158" s="38"/>
    </x:row>
    <x:row r="159">
      <x:c r="A159" s="22"/>
      <x:c r="B159" s="22"/>
      <x:c r="C159" s="34"/>
      <x:c r="D159" s="34"/>
      <x:c r="E159" s="22"/>
      <x:c r="F159" s="22"/>
      <x:c r="G159" s="22"/>
      <x:c r="H159" s="36"/>
      <x:c r="I159" s="38"/>
      <x:c r="J159" s="38"/>
      <x:c r="K159" s="38"/>
      <x:c r="L159" s="38"/>
      <x:c r="M159" s="38"/>
      <x:c r="N159" s="38"/>
      <x:c r="O159" s="38"/>
      <x:c r="P159" s="38"/>
      <x:c r="Q159" s="38"/>
      <x:c r="R159" s="38"/>
      <x:c r="S159" s="38"/>
      <x:c r="T159" s="38"/>
      <x:c r="U159" s="38"/>
      <x:c r="V159" s="38"/>
      <x:c r="W159" s="34"/>
      <x:c r="X159" s="36"/>
      <x:c r="Y159" s="40"/>
      <x:c r="Z159" s="40"/>
      <x:c r="AA159" s="38"/>
      <x:c r="AB159" s="41"/>
      <x:c r="AC159" s="38"/>
    </x:row>
    <x:row r="160">
      <x:c r="A160" s="43" t="str">
        <x:v>焊接工序</x:v>
      </x:c>
      <x:c r="B160" s="43"/>
      <x:c r="C160" s="44"/>
      <x:c r="D160" s="44"/>
      <x:c r="E160" s="43"/>
      <x:c r="F160" s="43"/>
      <x:c r="G160" s="43"/>
      <x:c r="H160" s="45"/>
      <x:c r="I160" s="46"/>
      <x:c r="J160" s="46"/>
      <x:c r="K160" s="46"/>
      <x:c r="L160" s="46"/>
      <x:c r="M160" s="46"/>
      <x:c r="N160" s="46"/>
      <x:c r="O160" s="46"/>
      <x:c r="P160" s="46"/>
      <x:c r="Q160" s="46"/>
      <x:c r="R160" s="46"/>
      <x:c r="S160" s="46"/>
      <x:c r="T160" s="46"/>
      <x:c r="U160" s="46"/>
      <x:c r="V160" s="46"/>
      <x:c r="W160" s="44"/>
      <x:c r="X160" s="45"/>
      <x:c r="Y160" s="47"/>
      <x:c r="Z160" s="47"/>
      <x:c r="AA160" s="46"/>
      <x:c r="AB160" s="48"/>
      <x:c r="AC160" s="46"/>
    </x:row>
    <x:row r="161">
      <x:c r="A161" s="22" t="str">
        <x:v>WE10</x:v>
      </x:c>
      <x:c r="B161" s="22" t="s">
        <x:v>458</x:v>
      </x:c>
      <x:c r="C161" s="34">
        <x:v>4</x:v>
      </x:c>
      <x:c r="D161" s="34" t="n">
        <x:f t="shared" ref="D161:D167" si="72">IFERROR(60*60/C161,0)</x:f>
        <x:v>900</x:v>
      </x:c>
      <x:c r="E161" s="22">
        <x:v>8</x:v>
      </x:c>
      <x:c r="F161" s="22">
        <x:v>22</x:v>
      </x:c>
      <x:c r="G161" s="22">
        <x:v>300</x:v>
      </x:c>
      <x:c r="H161" s="36">
        <x:v>280000</x:v>
      </x:c>
      <x:c r="I161" s="38" t="n">
        <x:f t="shared" ref="I161:I167" si="73">IFERROR(H161/E161/F161/G161/D161,0)</x:f>
        <x:v>0.005892255892255893</x:v>
      </x:c>
      <x:c r="J161" s="38">
        <x:v>0.62777055000000004</x:v>
      </x:c>
      <x:c r="K161" s="38">
        <x:v>20</x:v>
      </x:c>
      <x:c r="L161" s="38" t="n">
        <x:f t="shared" ref="L161:L167" si="74">IFERROR(J161*K161/D161,0)</x:f>
        <x:v>0.013950456666666668</x:v>
      </x:c>
      <x:c r="M161" s="38">
        <x:v>3.7</x:v>
      </x:c>
      <x:c r="N161" s="38">
        <x:v>1.5</x:v>
      </x:c>
      <x:c r="O161" s="38" t="n">
        <x:f t="shared" ref="O161:O167" si="75">IFERROR(N161*M161/D161,0)</x:f>
        <x:v>0.0061666666666666675</x:v>
      </x:c>
      <x:c r="P161" s="38" t="n">
        <x:f t="shared" ref="P161:P167" si="76">O161+L161</x:f>
        <x:v>0.020117123333333334</x:v>
      </x:c>
      <x:c r="Q161" s="38">
        <x:v>0</x:v>
      </x:c>
      <x:c r="R161" s="38">
        <x:v>0</x:v>
      </x:c>
      <x:c r="S161" s="38">
        <x:v>0</x:v>
      </x:c>
      <x:c r="T161" s="38">
        <x:v>2</x:v>
      </x:c>
      <x:c r="U161" s="38">
        <x:v>1</x:v>
      </x:c>
      <x:c r="V161" s="38" t="n">
        <x:f t="shared" ref="V161:V167" si="77">IFERROR((Q161+R161+S161+T161+U161)/D161,0)</x:f>
        <x:v>0.0033333333333333335</x:v>
      </x:c>
      <x:c r="W161" s="34">
        <x:v>1</x:v>
      </x:c>
      <x:c r="X161" s="36">
        <x:v>6000</x:v>
      </x:c>
      <x:c r="Y161" s="40">
        <x:v>11</x:v>
      </x:c>
      <x:c r="Z161" s="40">
        <x:v>25</x:v>
      </x:c>
      <x:c r="AA161" s="38" t="n">
        <x:f t="shared" ref="AA161:AA167" si="78">IFERROR((W161*X161)/Y161/Z161/D161,0)</x:f>
        <x:v>0.024242424242424246</x:v>
      </x:c>
      <x:c r="AB161" s="41">
        <x:v>0.98499999999999999</x:v>
      </x:c>
      <x:c r="AC161" s="38" t="n">
        <x:f t="shared" ref="AC161:AC167" si="79">IFERROR((I161+P161+V161+AA161)/AB161,0)</x:f>
        <x:v>0.054401154113042444</x:v>
      </x:c>
    </x:row>
    <x:row r="162">
      <x:c r="A162" s="22" t="str">
        <x:v>WE20</x:v>
      </x:c>
      <x:c r="B162" s="22" t="s">
        <x:v>459</x:v>
      </x:c>
      <x:c r="C162" s="34">
        <x:v>6</x:v>
      </x:c>
      <x:c r="D162" s="34">
        <x:f t="shared" si="72"/>
        <x:v>600</x:v>
      </x:c>
      <x:c r="E162" s="22">
        <x:v>8</x:v>
      </x:c>
      <x:c r="F162" s="22">
        <x:v>22</x:v>
      </x:c>
      <x:c r="G162" s="22">
        <x:v>300</x:v>
      </x:c>
      <x:c r="H162" s="36">
        <x:v>350000</x:v>
      </x:c>
      <x:c r="I162" s="38">
        <x:f t="shared" si="73"/>
        <x:v>1.1047979797979798E-2</x:v>
      </x:c>
      <x:c r="J162" s="38">
        <x:v>0.62777055000000004</x:v>
      </x:c>
      <x:c r="K162" s="38">
        <x:v>25</x:v>
      </x:c>
      <x:c r="L162" s="38">
        <x:f t="shared" si="74"/>
        <x:v>2.6157106250000003E-2</x:v>
      </x:c>
      <x:c r="M162" s="38">
        <x:v>3.7</x:v>
      </x:c>
      <x:c r="N162" s="38">
        <x:v>1.5</x:v>
      </x:c>
      <x:c r="O162" s="38">
        <x:f t="shared" si="75"/>
        <x:v>9.2500000000000013E-3</x:v>
      </x:c>
      <x:c r="P162" s="38">
        <x:f t="shared" si="76"/>
        <x:v>3.5407106250000001E-2</x:v>
      </x:c>
      <x:c r="Q162" s="38">
        <x:v>0</x:v>
      </x:c>
      <x:c r="R162" s="38">
        <x:v>0</x:v>
      </x:c>
      <x:c r="S162" s="38">
        <x:v>0</x:v>
      </x:c>
      <x:c r="T162" s="38">
        <x:v>2</x:v>
      </x:c>
      <x:c r="U162" s="38">
        <x:v>1</x:v>
      </x:c>
      <x:c r="V162" s="38">
        <x:f t="shared" si="77"/>
        <x:v>5.0000000000000001E-3</x:v>
      </x:c>
      <x:c r="W162" s="34">
        <x:v>1</x:v>
      </x:c>
      <x:c r="X162" s="36">
        <x:v>6000</x:v>
      </x:c>
      <x:c r="Y162" s="40">
        <x:v>11</x:v>
      </x:c>
      <x:c r="Z162" s="40">
        <x:v>25</x:v>
      </x:c>
      <x:c r="AA162" s="38">
        <x:f t="shared" si="78"/>
        <x:v>3.6363636363636369E-2</x:v>
      </x:c>
      <x:c r="AB162" s="41">
        <x:v>0.98499999999999999</x:v>
      </x:c>
      <x:c r="AC162" s="38">
        <x:f t="shared" si="79"/>
        <x:v>8.9156063362046872E-2</x:v>
      </x:c>
    </x:row>
    <x:row r="163">
      <x:c r="A163" s="22" t="str">
        <x:v>WE30</x:v>
      </x:c>
      <x:c r="B163" s="22" t="s">
        <x:v>460</x:v>
      </x:c>
      <x:c r="C163" s="34">
        <x:v>8</x:v>
      </x:c>
      <x:c r="D163" s="34">
        <x:f t="shared" si="72"/>
        <x:v>450</x:v>
      </x:c>
      <x:c r="E163" s="22">
        <x:v>8</x:v>
      </x:c>
      <x:c r="F163" s="22">
        <x:v>22</x:v>
      </x:c>
      <x:c r="G163" s="22">
        <x:v>300</x:v>
      </x:c>
      <x:c r="H163" s="36">
        <x:v>1800000</x:v>
      </x:c>
      <x:c r="I163" s="38">
        <x:f t="shared" si="73"/>
        <x:v>7.575757575757576E-2</x:v>
      </x:c>
      <x:c r="J163" s="38">
        <x:v>0.62777055000000004</x:v>
      </x:c>
      <x:c r="K163" s="38">
        <x:v>15</x:v>
      </x:c>
      <x:c r="L163" s="38">
        <x:f t="shared" si="74"/>
        <x:v>2.0925685000000003E-2</x:v>
      </x:c>
      <x:c r="M163" s="38">
        <x:v>3.7</x:v>
      </x:c>
      <x:c r="N163" s="38">
        <x:v>1.5</x:v>
      </x:c>
      <x:c r="O163" s="38">
        <x:f t="shared" si="75"/>
        <x:v>1.2333333333333335E-2</x:v>
      </x:c>
      <x:c r="P163" s="38">
        <x:f t="shared" si="76"/>
        <x:v>3.3259018333333334E-2</x:v>
      </x:c>
      <x:c r="Q163" s="38">
        <x:v>0</x:v>
      </x:c>
      <x:c r="R163" s="38">
        <x:v>0</x:v>
      </x:c>
      <x:c r="S163" s="38">
        <x:v>0</x:v>
      </x:c>
      <x:c r="T163" s="38">
        <x:v>2</x:v>
      </x:c>
      <x:c r="U163" s="38">
        <x:v>1</x:v>
      </x:c>
      <x:c r="V163" s="38">
        <x:f t="shared" si="77"/>
        <x:v>6.6666666666666671E-3</x:v>
      </x:c>
      <x:c r="W163" s="34">
        <x:v>1</x:v>
      </x:c>
      <x:c r="X163" s="36">
        <x:v>6000</x:v>
      </x:c>
      <x:c r="Y163" s="40">
        <x:v>11</x:v>
      </x:c>
      <x:c r="Z163" s="40">
        <x:v>25</x:v>
      </x:c>
      <x:c r="AA163" s="38">
        <x:f t="shared" si="78"/>
        <x:v>4.8484848484848492E-2</x:v>
      </x:c>
      <x:c r="AB163" s="41">
        <x:v>0.98</x:v>
      </x:c>
      <x:c r="AC163" s="38">
        <x:f t="shared" si="79"/>
        <x:v>0.16751847881880025</x:v>
      </x:c>
    </x:row>
    <x:row r="164">
      <x:c r="A164" s="22" t="str">
        <x:v>WE40</x:v>
      </x:c>
      <x:c r="B164" s="22" t="s">
        <x:v>461</x:v>
      </x:c>
      <x:c r="C164" s="34">
        <x:v>35</x:v>
      </x:c>
      <x:c r="D164" s="34">
        <x:f t="shared" si="72"/>
        <x:v>102.85714285714286</x:v>
      </x:c>
      <x:c r="E164" s="22">
        <x:v>8</x:v>
      </x:c>
      <x:c r="F164" s="22">
        <x:v>22</x:v>
      </x:c>
      <x:c r="G164" s="22">
        <x:v>300</x:v>
      </x:c>
      <x:c r="H164" s="36">
        <x:v>450000</x:v>
      </x:c>
      <x:c r="I164" s="38">
        <x:f t="shared" si="73"/>
        <x:v>8.2859848484848495E-2</x:v>
      </x:c>
      <x:c r="J164" s="38">
        <x:v>0.62777055000000004</x:v>
      </x:c>
      <x:c r="K164" s="38">
        <x:v>18</x:v>
      </x:c>
      <x:c r="L164" s="38">
        <x:f t="shared" si="74"/>
        <x:v>0.10985984625</x:v>
      </x:c>
      <x:c r="M164" s="38">
        <x:v>3.7</x:v>
      </x:c>
      <x:c r="N164" s="38">
        <x:v>1.5</x:v>
      </x:c>
      <x:c r="O164" s="38">
        <x:f t="shared" si="75"/>
        <x:v>5.3958333333333337E-2</x:v>
      </x:c>
      <x:c r="P164" s="38">
        <x:f t="shared" si="76"/>
        <x:v>0.16381817958333333</x:v>
      </x:c>
      <x:c r="Q164" s="38">
        <x:v>0</x:v>
      </x:c>
      <x:c r="R164" s="38">
        <x:v>0</x:v>
      </x:c>
      <x:c r="S164" s="38">
        <x:v>0</x:v>
      </x:c>
      <x:c r="T164" s="38">
        <x:v>2</x:v>
      </x:c>
      <x:c r="U164" s="38">
        <x:v>1</x:v>
      </x:c>
      <x:c r="V164" s="38">
        <x:f t="shared" si="77"/>
        <x:v>2.9166666666666667E-2</x:v>
      </x:c>
      <x:c r="W164" s="34">
        <x:v>1.5</x:v>
      </x:c>
      <x:c r="X164" s="36">
        <x:v>6000</x:v>
      </x:c>
      <x:c r="Y164" s="40">
        <x:v>11</x:v>
      </x:c>
      <x:c r="Z164" s="40">
        <x:v>25</x:v>
      </x:c>
      <x:c r="AA164" s="38">
        <x:f t="shared" si="78"/>
        <x:v>0.31818181818181818</x:v>
      </x:c>
      <x:c r="AB164" s="41">
        <x:v>0.97499999999999998</x:v>
      </x:c>
      <x:c r="AC164" s="38">
        <x:f t="shared" si="79"/>
        <x:v>0.60925796196581194</x:v>
      </x:c>
    </x:row>
    <x:row r="165">
      <x:c r="A165" s="22" t="str">
        <x:v>WE50</x:v>
      </x:c>
      <x:c r="B165" s="22" t="s">
        <x:v>462</x:v>
      </x:c>
      <x:c r="C165" s="34">
        <x:v>50</x:v>
      </x:c>
      <x:c r="D165" s="34">
        <x:f t="shared" si="72"/>
        <x:v>72</x:v>
      </x:c>
      <x:c r="E165" s="22">
        <x:v>8</x:v>
      </x:c>
      <x:c r="F165" s="22">
        <x:v>22</x:v>
      </x:c>
      <x:c r="G165" s="22">
        <x:v>300</x:v>
      </x:c>
      <x:c r="H165" s="36">
        <x:v>300000</x:v>
      </x:c>
      <x:c r="I165" s="38">
        <x:f t="shared" si="73"/>
        <x:v>7.8914141414141409E-2</x:v>
      </x:c>
      <x:c r="J165" s="38">
        <x:v>0.62777055000000004</x:v>
      </x:c>
      <x:c r="K165" s="38">
        <x:v>12</x:v>
      </x:c>
      <x:c r="L165" s="38">
        <x:f t="shared" si="74"/>
        <x:v>0.104628425</x:v>
      </x:c>
      <x:c r="M165" s="38">
        <x:v>3.7</x:v>
      </x:c>
      <x:c r="N165" s="38">
        <x:v>1.5</x:v>
      </x:c>
      <x:c r="O165" s="38">
        <x:f t="shared" si="75"/>
        <x:v>7.7083333333333337E-2</x:v>
      </x:c>
      <x:c r="P165" s="38">
        <x:f t="shared" si="76"/>
        <x:v>0.18171175833333333</x:v>
      </x:c>
      <x:c r="Q165" s="38">
        <x:v>0</x:v>
      </x:c>
      <x:c r="R165" s="38">
        <x:v>0</x:v>
      </x:c>
      <x:c r="S165" s="38">
        <x:v>0</x:v>
      </x:c>
      <x:c r="T165" s="38">
        <x:v>2</x:v>
      </x:c>
      <x:c r="U165" s="38">
        <x:v>1</x:v>
      </x:c>
      <x:c r="V165" s="38">
        <x:f t="shared" si="77"/>
        <x:v>4.1666666666666664E-2</x:v>
      </x:c>
      <x:c r="W165" s="34">
        <x:v>1.5</x:v>
      </x:c>
      <x:c r="X165" s="36">
        <x:v>6000</x:v>
      </x:c>
      <x:c r="Y165" s="40">
        <x:v>11</x:v>
      </x:c>
      <x:c r="Z165" s="40">
        <x:v>25</x:v>
      </x:c>
      <x:c r="AA165" s="38">
        <x:f t="shared" si="78"/>
        <x:v>0.45454545454545453</x:v>
      </x:c>
      <x:c r="AB165" s="41">
        <x:v>0.97499999999999998</x:v>
      </x:c>
      <x:c r="AC165" s="38">
        <x:f t="shared" si="79"/>
        <x:v>0.77624412406112409</x:v>
      </x:c>
    </x:row>
    <x:row r="166">
      <x:c r="A166" s="22" t="str">
        <x:v>WE60</x:v>
      </x:c>
      <x:c r="B166" s="22" t="s">
        <x:v>463</x:v>
      </x:c>
      <x:c r="C166" s="34">
        <x:v>5</x:v>
      </x:c>
      <x:c r="D166" s="34">
        <x:f t="shared" si="72"/>
        <x:v>720</x:v>
      </x:c>
      <x:c r="E166" s="22">
        <x:v>8</x:v>
      </x:c>
      <x:c r="F166" s="22">
        <x:v>22</x:v>
      </x:c>
      <x:c r="G166" s="22">
        <x:v>300</x:v>
      </x:c>
      <x:c r="H166" s="36">
        <x:v>900000</x:v>
      </x:c>
      <x:c r="I166" s="38">
        <x:f t="shared" si="73"/>
        <x:v>2.3674242424242428E-2</x:v>
      </x:c>
      <x:c r="J166" s="38">
        <x:v>0.62777055000000004</x:v>
      </x:c>
      <x:c r="K166" s="38">
        <x:v>8</x:v>
      </x:c>
      <x:c r="L166" s="38">
        <x:f t="shared" si="74"/>
        <x:v>6.975228333333334E-3</x:v>
      </x:c>
      <x:c r="M166" s="38">
        <x:v>3.7</x:v>
      </x:c>
      <x:c r="N166" s="38">
        <x:v>1.5</x:v>
      </x:c>
      <x:c r="O166" s="38">
        <x:f t="shared" si="75"/>
        <x:v>7.7083333333333344E-3</x:v>
      </x:c>
      <x:c r="P166" s="38">
        <x:f t="shared" si="76"/>
        <x:v>1.4683561666666668E-2</x:v>
      </x:c>
      <x:c r="Q166" s="38">
        <x:v>0</x:v>
      </x:c>
      <x:c r="R166" s="38">
        <x:v>0</x:v>
      </x:c>
      <x:c r="S166" s="38">
        <x:v>0</x:v>
      </x:c>
      <x:c r="T166" s="38">
        <x:v>2</x:v>
      </x:c>
      <x:c r="U166" s="38">
        <x:v>1</x:v>
      </x:c>
      <x:c r="V166" s="38">
        <x:f t="shared" si="77"/>
        <x:v>4.1666666666666666E-3</x:v>
      </x:c>
      <x:c r="W166" s="34">
        <x:v>1</x:v>
      </x:c>
      <x:c r="X166" s="36">
        <x:v>6000</x:v>
      </x:c>
      <x:c r="Y166" s="40">
        <x:v>11</x:v>
      </x:c>
      <x:c r="Z166" s="40">
        <x:v>25</x:v>
      </x:c>
      <x:c r="AA166" s="38">
        <x:f t="shared" si="78"/>
        <x:v>3.0303030303030307E-2</x:v>
      </x:c>
      <x:c r="AB166" s="41">
        <x:v>0.98499999999999999</x:v>
      </x:c>
      <x:c r="AC166" s="38">
        <x:f t="shared" si="79"/>
        <x:v>7.3936549300107679E-2</x:v>
      </x:c>
    </x:row>
    <x:row r="167">
      <x:c r="A167" s="22" t="str">
        <x:v>WE70</x:v>
      </x:c>
      <x:c r="B167" s="22" t="s">
        <x:v>464</x:v>
      </x:c>
      <x:c r="C167" s="34">
        <x:v>6</x:v>
      </x:c>
      <x:c r="D167" s="34">
        <x:f t="shared" si="72"/>
        <x:v>600</x:v>
      </x:c>
      <x:c r="E167" s="22">
        <x:v>8</x:v>
      </x:c>
      <x:c r="F167" s="22">
        <x:v>22</x:v>
      </x:c>
      <x:c r="G167" s="22">
        <x:v>300</x:v>
      </x:c>
      <x:c r="H167" s="36">
        <x:v>320000</x:v>
      </x:c>
      <x:c r="I167" s="38">
        <x:f t="shared" si="73"/>
        <x:v>1.01010101010101E-2</x:v>
      </x:c>
      <x:c r="J167" s="38">
        <x:v>0.62777055000000004</x:v>
      </x:c>
      <x:c r="K167" s="38">
        <x:v>4</x:v>
      </x:c>
      <x:c r="L167" s="38">
        <x:f t="shared" si="74"/>
        <x:v>4.1851370000000002E-3</x:v>
      </x:c>
      <x:c r="M167" s="38">
        <x:v>3.7</x:v>
      </x:c>
      <x:c r="N167" s="38">
        <x:v>1.5</x:v>
      </x:c>
      <x:c r="O167" s="38">
        <x:f t="shared" si="75"/>
        <x:v>9.2500000000000013E-3</x:v>
      </x:c>
      <x:c r="P167" s="38">
        <x:f t="shared" si="76"/>
        <x:v>1.3435137000000002E-2</x:v>
      </x:c>
      <x:c r="Q167" s="38">
        <x:v>0</x:v>
      </x:c>
      <x:c r="R167" s="38">
        <x:v>0</x:v>
      </x:c>
      <x:c r="S167" s="38">
        <x:v>0</x:v>
      </x:c>
      <x:c r="T167" s="38">
        <x:v>2</x:v>
      </x:c>
      <x:c r="U167" s="38">
        <x:v>1</x:v>
      </x:c>
      <x:c r="V167" s="38">
        <x:f t="shared" si="77"/>
        <x:v>5.0000000000000001E-3</x:v>
      </x:c>
      <x:c r="W167" s="34">
        <x:v>1</x:v>
      </x:c>
      <x:c r="X167" s="36">
        <x:v>6000</x:v>
      </x:c>
      <x:c r="Y167" s="40">
        <x:v>11</x:v>
      </x:c>
      <x:c r="Z167" s="40">
        <x:v>25</x:v>
      </x:c>
      <x:c r="AA167" s="38">
        <x:f t="shared" si="78"/>
        <x:v>3.6363636363636369E-2</x:v>
      </x:c>
      <x:c r="AB167" s="41">
        <x:v>0.98499999999999999</x:v>
      </x:c>
      <x:c r="AC167" s="38">
        <x:f t="shared" si="79"/>
        <x:v>6.5888105040250236E-2</x:v>
      </x:c>
    </x:row>
    <x:row r="168">
      <x:c r="A168" s="22"/>
      <x:c r="B168" s="22"/>
      <x:c r="C168" s="34"/>
      <x:c r="D168" s="34"/>
      <x:c r="E168" s="22"/>
      <x:c r="F168" s="22"/>
      <x:c r="G168" s="22"/>
      <x:c r="H168" s="36"/>
      <x:c r="I168" s="38"/>
      <x:c r="J168" s="38"/>
      <x:c r="K168" s="38"/>
      <x:c r="L168" s="38"/>
      <x:c r="M168" s="38"/>
      <x:c r="N168" s="38"/>
      <x:c r="O168" s="38"/>
      <x:c r="P168" s="38"/>
      <x:c r="Q168" s="38"/>
      <x:c r="R168" s="38"/>
      <x:c r="S168" s="38"/>
      <x:c r="T168" s="38"/>
      <x:c r="U168" s="38"/>
      <x:c r="V168" s="38"/>
      <x:c r="W168" s="34"/>
      <x:c r="X168" s="36"/>
      <x:c r="Y168" s="40"/>
      <x:c r="Z168" s="40"/>
      <x:c r="AA168" s="38"/>
      <x:c r="AB168" s="41"/>
      <x:c r="AC168" s="38"/>
    </x:row>
    <x:row r="169">
      <x:c r="A169" s="22"/>
      <x:c r="B169" s="22"/>
      <x:c r="C169" s="34"/>
      <x:c r="D169" s="34"/>
      <x:c r="E169" s="22"/>
      <x:c r="F169" s="22"/>
      <x:c r="G169" s="22"/>
      <x:c r="H169" s="36"/>
      <x:c r="I169" s="38"/>
      <x:c r="J169" s="38"/>
      <x:c r="K169" s="38"/>
      <x:c r="L169" s="38"/>
      <x:c r="M169" s="38"/>
      <x:c r="N169" s="38"/>
      <x:c r="O169" s="38"/>
      <x:c r="P169" s="38"/>
      <x:c r="Q169" s="38"/>
      <x:c r="R169" s="38"/>
      <x:c r="S169" s="38"/>
      <x:c r="T169" s="38"/>
      <x:c r="U169" s="38"/>
      <x:c r="V169" s="38"/>
      <x:c r="W169" s="34"/>
      <x:c r="X169" s="36"/>
      <x:c r="Y169" s="40"/>
      <x:c r="Z169" s="40"/>
      <x:c r="AA169" s="38"/>
      <x:c r="AB169" s="41"/>
      <x:c r="AC169" s="38"/>
    </x:row>
    <x:row r="170">
      <x:c r="A170" s="22"/>
      <x:c r="B170" s="22"/>
      <x:c r="C170" s="34"/>
      <x:c r="D170" s="34"/>
      <x:c r="E170" s="22"/>
      <x:c r="F170" s="22"/>
      <x:c r="G170" s="22"/>
      <x:c r="H170" s="36"/>
      <x:c r="I170" s="38"/>
      <x:c r="J170" s="38"/>
      <x:c r="K170" s="38"/>
      <x:c r="L170" s="38"/>
      <x:c r="M170" s="38"/>
      <x:c r="N170" s="38"/>
      <x:c r="O170" s="38"/>
      <x:c r="P170" s="38"/>
      <x:c r="Q170" s="38"/>
      <x:c r="R170" s="38"/>
      <x:c r="S170" s="38"/>
      <x:c r="T170" s="38"/>
      <x:c r="U170" s="38"/>
      <x:c r="V170" s="38"/>
      <x:c r="W170" s="34"/>
      <x:c r="X170" s="36"/>
      <x:c r="Y170" s="40"/>
      <x:c r="Z170" s="40"/>
      <x:c r="AA170" s="38"/>
      <x:c r="AB170" s="41"/>
      <x:c r="AC170" s="38"/>
    </x:row>
    <x:row r="171">
      <x:c r="A171" s="22"/>
      <x:c r="B171" s="22"/>
      <x:c r="C171" s="34"/>
      <x:c r="D171" s="34"/>
      <x:c r="E171" s="22"/>
      <x:c r="F171" s="22"/>
      <x:c r="G171" s="22"/>
      <x:c r="H171" s="36"/>
      <x:c r="I171" s="38"/>
      <x:c r="J171" s="38"/>
      <x:c r="K171" s="38"/>
      <x:c r="L171" s="38"/>
      <x:c r="M171" s="38"/>
      <x:c r="N171" s="38"/>
      <x:c r="O171" s="38"/>
      <x:c r="P171" s="38"/>
      <x:c r="Q171" s="38"/>
      <x:c r="R171" s="38"/>
      <x:c r="S171" s="38"/>
      <x:c r="T171" s="38"/>
      <x:c r="U171" s="38"/>
      <x:c r="V171" s="38"/>
      <x:c r="W171" s="34"/>
      <x:c r="X171" s="36"/>
      <x:c r="Y171" s="40"/>
      <x:c r="Z171" s="40"/>
      <x:c r="AA171" s="38"/>
      <x:c r="AB171" s="41"/>
      <x:c r="AC171" s="38"/>
    </x:row>
    <x:row r="172">
      <x:c r="A172" s="22"/>
      <x:c r="B172" s="22"/>
      <x:c r="C172" s="34"/>
      <x:c r="D172" s="34"/>
      <x:c r="E172" s="22"/>
      <x:c r="F172" s="22"/>
      <x:c r="G172" s="22"/>
      <x:c r="H172" s="36"/>
      <x:c r="I172" s="38"/>
      <x:c r="J172" s="38"/>
      <x:c r="K172" s="38"/>
      <x:c r="L172" s="38"/>
      <x:c r="M172" s="38"/>
      <x:c r="N172" s="38"/>
      <x:c r="O172" s="38"/>
      <x:c r="P172" s="38"/>
      <x:c r="Q172" s="38"/>
      <x:c r="R172" s="38"/>
      <x:c r="S172" s="38"/>
      <x:c r="T172" s="38"/>
      <x:c r="U172" s="38"/>
      <x:c r="V172" s="38"/>
      <x:c r="W172" s="34"/>
      <x:c r="X172" s="36"/>
      <x:c r="Y172" s="40"/>
      <x:c r="Z172" s="40"/>
      <x:c r="AA172" s="38"/>
      <x:c r="AB172" s="41"/>
      <x:c r="AC172" s="38"/>
    </x:row>
    <x:row r="173">
      <x:c r="A173" s="22"/>
      <x:c r="B173" s="22"/>
      <x:c r="C173" s="34"/>
      <x:c r="D173" s="34"/>
      <x:c r="E173" s="22"/>
      <x:c r="F173" s="22"/>
      <x:c r="G173" s="22"/>
      <x:c r="H173" s="36"/>
      <x:c r="I173" s="38"/>
      <x:c r="J173" s="38"/>
      <x:c r="K173" s="38"/>
      <x:c r="L173" s="38"/>
      <x:c r="M173" s="38"/>
      <x:c r="N173" s="38"/>
      <x:c r="O173" s="38"/>
      <x:c r="P173" s="38"/>
      <x:c r="Q173" s="38"/>
      <x:c r="R173" s="38"/>
      <x:c r="S173" s="38"/>
      <x:c r="T173" s="38"/>
      <x:c r="U173" s="38"/>
      <x:c r="V173" s="38"/>
      <x:c r="W173" s="34"/>
      <x:c r="X173" s="36"/>
      <x:c r="Y173" s="40"/>
      <x:c r="Z173" s="40"/>
      <x:c r="AA173" s="38"/>
      <x:c r="AB173" s="41"/>
      <x:c r="AC173" s="38"/>
    </x:row>
    <x:row r="174">
      <x:c r="A174" s="43" t="str">
        <x:v>SMT工序</x:v>
      </x:c>
      <x:c r="B174" s="43"/>
      <x:c r="C174" s="44"/>
      <x:c r="D174" s="44"/>
      <x:c r="E174" s="43"/>
      <x:c r="F174" s="43"/>
      <x:c r="G174" s="43"/>
      <x:c r="H174" s="45"/>
      <x:c r="I174" s="46"/>
      <x:c r="J174" s="46"/>
      <x:c r="K174" s="46"/>
      <x:c r="L174" s="46"/>
      <x:c r="M174" s="46"/>
      <x:c r="N174" s="46"/>
      <x:c r="O174" s="46"/>
      <x:c r="P174" s="46"/>
      <x:c r="Q174" s="46"/>
      <x:c r="R174" s="46"/>
      <x:c r="S174" s="46"/>
      <x:c r="T174" s="46"/>
      <x:c r="U174" s="46"/>
      <x:c r="V174" s="46"/>
      <x:c r="W174" s="44"/>
      <x:c r="X174" s="45"/>
      <x:c r="Y174" s="47"/>
      <x:c r="Z174" s="47"/>
      <x:c r="AA174" s="46"/>
      <x:c r="AB174" s="48"/>
      <x:c r="AC174" s="46"/>
    </x:row>
    <x:row r="175">
      <x:c r="A175" s="22" t="str">
        <x:v>SM10</x:v>
      </x:c>
      <x:c r="B175" s="22" t="s">
        <x:v>465</x:v>
      </x:c>
      <x:c r="C175" s="34">
        <x:v>2</x:v>
      </x:c>
      <x:c r="D175" s="34" t="n">
        <x:f t="shared" ref="D175:D182" si="80">IFERROR(60*60/C175,0)</x:f>
        <x:v>1800</x:v>
      </x:c>
      <x:c r="E175" s="22">
        <x:v>8</x:v>
      </x:c>
      <x:c r="F175" s="22">
        <x:v>22</x:v>
      </x:c>
      <x:c r="G175" s="22">
        <x:v>300</x:v>
      </x:c>
      <x:c r="H175" s="36">
        <x:v>350000</x:v>
      </x:c>
      <x:c r="I175" s="38" t="n">
        <x:f t="shared" ref="I175:I182" si="81">IFERROR(H175/E175/F175/G175/D175,0)</x:f>
        <x:v>0.003682659932659933</x:v>
      </x:c>
      <x:c r="J175" s="38">
        <x:v>0.62777055000000004</x:v>
      </x:c>
      <x:c r="K175" s="38">
        <x:v>3</x:v>
      </x:c>
      <x:c r="L175" s="38" t="n">
        <x:f t="shared" ref="L175:L182" si="82">IFERROR(J175*K175/D175,0)</x:f>
        <x:v>0.00104628425</x:v>
      </x:c>
      <x:c r="M175" s="38">
        <x:v>3.7</x:v>
      </x:c>
      <x:c r="N175" s="38">
        <x:v>0</x:v>
      </x:c>
      <x:c r="O175" s="38" t="n">
        <x:f t="shared" ref="O175:O182" si="83">IFERROR(N175*M175/D175,0)</x:f>
        <x:v>0</x:v>
      </x:c>
      <x:c r="P175" s="38" t="n">
        <x:f t="shared" ref="P175:P182" si="84">O175+L175</x:f>
        <x:v>0.00104628425</x:v>
      </x:c>
      <x:c r="Q175" s="38">
        <x:v>0</x:v>
      </x:c>
      <x:c r="R175" s="38">
        <x:v>0</x:v>
      </x:c>
      <x:c r="S175" s="38">
        <x:v>0</x:v>
      </x:c>
      <x:c r="T175" s="38">
        <x:v>0</x:v>
      </x:c>
      <x:c r="U175" s="38">
        <x:v>2</x:v>
      </x:c>
      <x:c r="V175" s="38" t="n">
        <x:f t="shared" ref="V175:V182" si="85">IFERROR((Q175+R175+S175+T175+U175)/D175,0)</x:f>
        <x:v>0.0011111111111111111</x:v>
      </x:c>
      <x:c r="W175" s="34">
        <x:v>1</x:v>
      </x:c>
      <x:c r="X175" s="36">
        <x:v>6000</x:v>
      </x:c>
      <x:c r="Y175" s="40">
        <x:v>11</x:v>
      </x:c>
      <x:c r="Z175" s="40">
        <x:v>25</x:v>
      </x:c>
      <x:c r="AA175" s="38" t="n">
        <x:f t="shared" ref="AA175:AA182" si="86">IFERROR((W175*X175)/Y175/Z175/D175,0)</x:f>
        <x:v>0.012121212121212123</x:v>
      </x:c>
      <x:c r="AB175" s="41">
        <x:v>0.995</x:v>
      </x:c>
      <x:c r="AC175" s="38" t="n">
        <x:f t="shared" ref="AC175:AC182" si="87">IFERROR((I175+P175+V175+AA175)/AB175,0)</x:f>
        <x:v>0.01805152504018409</x:v>
      </x:c>
    </x:row>
    <x:row r="176">
      <x:c r="A176" s="22" t="str">
        <x:v>SM20</x:v>
      </x:c>
      <x:c r="B176" s="22" t="s">
        <x:v>466</x:v>
      </x:c>
      <x:c r="C176" s="34">
        <x:v>2</x:v>
      </x:c>
      <x:c r="D176" s="34">
        <x:f t="shared" si="80"/>
        <x:v>1800</x:v>
      </x:c>
      <x:c r="E176" s="22">
        <x:v>8</x:v>
      </x:c>
      <x:c r="F176" s="22">
        <x:v>22</x:v>
      </x:c>
      <x:c r="G176" s="22">
        <x:v>300</x:v>
      </x:c>
      <x:c r="H176" s="36">
        <x:v>450000</x:v>
      </x:c>
      <x:c r="I176" s="38">
        <x:f t="shared" si="81"/>
        <x:v>4.734848484848485E-3</x:v>
      </x:c>
      <x:c r="J176" s="38">
        <x:v>0.62777055000000004</x:v>
      </x:c>
      <x:c r="K176" s="38">
        <x:v>2</x:v>
      </x:c>
      <x:c r="L176" s="38">
        <x:f t="shared" si="82"/>
        <x:v>6.9752283333333334E-4</x:v>
      </x:c>
      <x:c r="M176" s="38">
        <x:v>3.7</x:v>
      </x:c>
      <x:c r="N176" s="38">
        <x:v>0</x:v>
      </x:c>
      <x:c r="O176" s="38">
        <x:f t="shared" si="83"/>
        <x:v>0</x:v>
      </x:c>
      <x:c r="P176" s="38">
        <x:f t="shared" si="84"/>
        <x:v>6.9752283333333334E-4</x:v>
      </x:c>
      <x:c r="Q176" s="38">
        <x:v>0</x:v>
      </x:c>
      <x:c r="R176" s="38">
        <x:v>0</x:v>
      </x:c>
      <x:c r="S176" s="38">
        <x:v>0</x:v>
      </x:c>
      <x:c r="T176" s="38">
        <x:v>0</x:v>
      </x:c>
      <x:c r="U176" s="38">
        <x:v>2</x:v>
      </x:c>
      <x:c r="V176" s="38">
        <x:f t="shared" si="85"/>
        <x:v>1.1111111111111111E-3</x:v>
      </x:c>
      <x:c r="W176" s="34">
        <x:v>0.5</x:v>
      </x:c>
      <x:c r="X176" s="36">
        <x:v>6000</x:v>
      </x:c>
      <x:c r="Y176" s="40">
        <x:v>11</x:v>
      </x:c>
      <x:c r="Z176" s="40">
        <x:v>25</x:v>
      </x:c>
      <x:c r="AA176" s="38">
        <x:f t="shared" si="86"/>
        <x:v>6.0606060606060615E-3</x:v>
      </x:c>
      <x:c r="AB176" s="41">
        <x:v>0.998</x:v>
      </x:c>
      <x:c r="AC176" s="38">
        <x:f t="shared" si="87"/>
        <x:v>1.2629347184267527E-2</x:v>
      </x:c>
    </x:row>
    <x:row r="177">
      <x:c r="A177" s="22" t="str">
        <x:v>SM30</x:v>
      </x:c>
      <x:c r="B177" s="22" t="s">
        <x:v>467</x:v>
      </x:c>
      <x:c r="C177" s="34">
        <x:v>0.3</x:v>
      </x:c>
      <x:c r="D177" s="34">
        <x:f t="shared" si="80"/>
        <x:v>12000</x:v>
      </x:c>
      <x:c r="E177" s="22">
        <x:v>8</x:v>
      </x:c>
      <x:c r="F177" s="22">
        <x:v>22</x:v>
      </x:c>
      <x:c r="G177" s="22">
        <x:v>300</x:v>
      </x:c>
      <x:c r="H177" s="36">
        <x:v>1600000</x:v>
      </x:c>
      <x:c r="I177" s="38">
        <x:f t="shared" si="81"/>
        <x:v>2.525252525252525E-3</x:v>
      </x:c>
      <x:c r="J177" s="38">
        <x:v>0.62777055000000004</x:v>
      </x:c>
      <x:c r="K177" s="38">
        <x:v>12</x:v>
      </x:c>
      <x:c r="L177" s="38">
        <x:f t="shared" si="82"/>
        <x:v>6.2777055000000001E-4</x:v>
      </x:c>
      <x:c r="M177" s="38">
        <x:v>3.7</x:v>
      </x:c>
      <x:c r="N177" s="38">
        <x:v>0</x:v>
      </x:c>
      <x:c r="O177" s="38">
        <x:f t="shared" si="83"/>
        <x:v>0</x:v>
      </x:c>
      <x:c r="P177" s="38">
        <x:f t="shared" si="84"/>
        <x:v>6.2777055000000001E-4</x:v>
      </x:c>
      <x:c r="Q177" s="38">
        <x:v>0</x:v>
      </x:c>
      <x:c r="R177" s="38">
        <x:v>0</x:v>
      </x:c>
      <x:c r="S177" s="38">
        <x:v>0</x:v>
      </x:c>
      <x:c r="T177" s="38">
        <x:v>0</x:v>
      </x:c>
      <x:c r="U177" s="38">
        <x:v>2</x:v>
      </x:c>
      <x:c r="V177" s="38">
        <x:f t="shared" si="85"/>
        <x:v>1.6666666666666666E-4</x:v>
      </x:c>
      <x:c r="W177" s="34">
        <x:v>1</x:v>
      </x:c>
      <x:c r="X177" s="36">
        <x:v>6000</x:v>
      </x:c>
      <x:c r="Y177" s="40">
        <x:v>11</x:v>
      </x:c>
      <x:c r="Z177" s="40">
        <x:v>25</x:v>
      </x:c>
      <x:c r="AA177" s="38">
        <x:f t="shared" si="86"/>
        <x:v>1.8181818181818184E-3</x:v>
      </x:c>
      <x:c r="AB177" s="41">
        <x:v>0.995</x:v>
      </x:c>
      <x:c r="AC177" s="38">
        <x:f t="shared" si="87"/>
        <x:v>5.1636900101517695E-3</x:v>
      </x:c>
    </x:row>
    <x:row r="178">
      <x:c r="A178" s="22" t="str">
        <x:v>SM40</x:v>
      </x:c>
      <x:c r="B178" s="22" t="s">
        <x:v>468</x:v>
      </x:c>
      <x:c r="C178" s="34">
        <x:v>1.2</x:v>
      </x:c>
      <x:c r="D178" s="34">
        <x:f t="shared" si="80"/>
        <x:v>3000</x:v>
      </x:c>
      <x:c r="E178" s="22">
        <x:v>8</x:v>
      </x:c>
      <x:c r="F178" s="22">
        <x:v>22</x:v>
      </x:c>
      <x:c r="G178" s="22">
        <x:v>300</x:v>
      </x:c>
      <x:c r="H178" s="36">
        <x:v>1200000</x:v>
      </x:c>
      <x:c r="I178" s="38">
        <x:f t="shared" si="81"/>
        <x:v>7.575757575757576E-3</x:v>
      </x:c>
      <x:c r="J178" s="38">
        <x:v>0.62777055000000004</x:v>
      </x:c>
      <x:c r="K178" s="38">
        <x:v>10</x:v>
      </x:c>
      <x:c r="L178" s="38">
        <x:f t="shared" si="82"/>
        <x:v>2.0925685000000001E-3</x:v>
      </x:c>
      <x:c r="M178" s="38">
        <x:v>3.7</x:v>
      </x:c>
      <x:c r="N178" s="38">
        <x:v>0</x:v>
      </x:c>
      <x:c r="O178" s="38">
        <x:f t="shared" si="83"/>
        <x:v>0</x:v>
      </x:c>
      <x:c r="P178" s="38">
        <x:f t="shared" si="84"/>
        <x:v>2.0925685000000001E-3</x:v>
      </x:c>
      <x:c r="Q178" s="38">
        <x:v>0</x:v>
      </x:c>
      <x:c r="R178" s="38">
        <x:v>0</x:v>
      </x:c>
      <x:c r="S178" s="38">
        <x:v>0</x:v>
      </x:c>
      <x:c r="T178" s="38">
        <x:v>0</x:v>
      </x:c>
      <x:c r="U178" s="38">
        <x:v>2</x:v>
      </x:c>
      <x:c r="V178" s="38">
        <x:f t="shared" si="85"/>
        <x:v>6.6666666666666664E-4</x:v>
      </x:c>
      <x:c r="W178" s="34">
        <x:v>1</x:v>
      </x:c>
      <x:c r="X178" s="36">
        <x:v>6000</x:v>
      </x:c>
      <x:c r="Y178" s="40">
        <x:v>11</x:v>
      </x:c>
      <x:c r="Z178" s="40">
        <x:v>25</x:v>
      </x:c>
      <x:c r="AA178" s="38">
        <x:f t="shared" si="86"/>
        <x:v>7.2727272727272736E-3</x:v>
      </x:c>
      <x:c r="AB178" s="41">
        <x:v>0.995</x:v>
      </x:c>
      <x:c r="AC178" s="38">
        <x:f t="shared" si="87"/>
        <x:v>1.769620102025278E-2</x:v>
      </x:c>
    </x:row>
    <x:row r="179">
      <x:c r="A179" s="22" t="str">
        <x:v>SM50</x:v>
      </x:c>
      <x:c r="B179" s="22" t="s">
        <x:v>469</x:v>
      </x:c>
      <x:c r="C179" s="34">
        <x:v>1</x:v>
      </x:c>
      <x:c r="D179" s="34">
        <x:f t="shared" si="80"/>
        <x:v>3600</x:v>
      </x:c>
      <x:c r="E179" s="22">
        <x:v>8</x:v>
      </x:c>
      <x:c r="F179" s="22">
        <x:v>22</x:v>
      </x:c>
      <x:c r="G179" s="22">
        <x:v>300</x:v>
      </x:c>
      <x:c r="H179" s="36">
        <x:v>900000</x:v>
      </x:c>
      <x:c r="I179" s="38">
        <x:f t="shared" si="81"/>
        <x:v>4.734848484848485E-3</x:v>
      </x:c>
      <x:c r="J179" s="38">
        <x:v>0.62777055000000004</x:v>
      </x:c>
      <x:c r="K179" s="38">
        <x:v>35</x:v>
      </x:c>
      <x:c r="L179" s="38">
        <x:f t="shared" si="82"/>
        <x:v>6.1033247916666665E-3</x:v>
      </x:c>
      <x:c r="M179" s="38">
        <x:v>3.7</x:v>
      </x:c>
      <x:c r="N179" s="38">
        <x:v>0</x:v>
      </x:c>
      <x:c r="O179" s="38">
        <x:f t="shared" si="83"/>
        <x:v>0</x:v>
      </x:c>
      <x:c r="P179" s="38">
        <x:f t="shared" si="84"/>
        <x:v>6.1033247916666665E-3</x:v>
      </x:c>
      <x:c r="Q179" s="38">
        <x:v>0</x:v>
      </x:c>
      <x:c r="R179" s="38">
        <x:v>0</x:v>
      </x:c>
      <x:c r="S179" s="38">
        <x:v>0</x:v>
      </x:c>
      <x:c r="T179" s="38">
        <x:v>0</x:v>
      </x:c>
      <x:c r="U179" s="38">
        <x:v>2</x:v>
      </x:c>
      <x:c r="V179" s="38">
        <x:f t="shared" si="85"/>
        <x:v>5.5555555555555556E-4</x:v>
      </x:c>
      <x:c r="W179" s="34">
        <x:v>1</x:v>
      </x:c>
      <x:c r="X179" s="36">
        <x:v>6000</x:v>
      </x:c>
      <x:c r="Y179" s="40">
        <x:v>11</x:v>
      </x:c>
      <x:c r="Z179" s="40">
        <x:v>25</x:v>
      </x:c>
      <x:c r="AA179" s="38">
        <x:f t="shared" si="86"/>
        <x:v>6.0606060606060615E-3</x:v>
      </x:c>
      <x:c r="AB179" s="41">
        <x:v>0.99</x:v>
      </x:c>
      <x:c r="AC179" s="38">
        <x:f t="shared" si="87"/>
        <x:v>1.7630641305734111E-2</x:v>
      </x:c>
    </x:row>
    <x:row r="180">
      <x:c r="A180" s="22" t="str">
        <x:v>SM60</x:v>
      </x:c>
      <x:c r="B180" s="22" t="s">
        <x:v>470</x:v>
      </x:c>
      <x:c r="C180" s="34">
        <x:v>2</x:v>
      </x:c>
      <x:c r="D180" s="34">
        <x:f t="shared" si="80"/>
        <x:v>1800</x:v>
      </x:c>
      <x:c r="E180" s="22">
        <x:v>8</x:v>
      </x:c>
      <x:c r="F180" s="22">
        <x:v>22</x:v>
      </x:c>
      <x:c r="G180" s="22">
        <x:v>300</x:v>
      </x:c>
      <x:c r="H180" s="36">
        <x:v>650000</x:v>
      </x:c>
      <x:c r="I180" s="38">
        <x:f t="shared" si="81"/>
        <x:v>6.8392255892255893E-3</x:v>
      </x:c>
      <x:c r="J180" s="38">
        <x:v>0.62777055000000004</x:v>
      </x:c>
      <x:c r="K180" s="38">
        <x:v>3</x:v>
      </x:c>
      <x:c r="L180" s="38">
        <x:f t="shared" si="82"/>
        <x:v>1.0462842500000001E-3</x:v>
      </x:c>
      <x:c r="M180" s="38">
        <x:v>3.7</x:v>
      </x:c>
      <x:c r="N180" s="38">
        <x:v>0</x:v>
      </x:c>
      <x:c r="O180" s="38">
        <x:f t="shared" si="83"/>
        <x:v>0</x:v>
      </x:c>
      <x:c r="P180" s="38">
        <x:f t="shared" si="84"/>
        <x:v>1.0462842500000001E-3</x:v>
      </x:c>
      <x:c r="Q180" s="38">
        <x:v>0</x:v>
      </x:c>
      <x:c r="R180" s="38">
        <x:v>0</x:v>
      </x:c>
      <x:c r="S180" s="38">
        <x:v>0</x:v>
      </x:c>
      <x:c r="T180" s="38">
        <x:v>0</x:v>
      </x:c>
      <x:c r="U180" s="38">
        <x:v>2</x:v>
      </x:c>
      <x:c r="V180" s="38">
        <x:f t="shared" si="85"/>
        <x:v>1.1111111111111111E-3</x:v>
      </x:c>
      <x:c r="W180" s="34">
        <x:v>0.5</x:v>
      </x:c>
      <x:c r="X180" s="36">
        <x:v>6000</x:v>
      </x:c>
      <x:c r="Y180" s="40">
        <x:v>11</x:v>
      </x:c>
      <x:c r="Z180" s="40">
        <x:v>25</x:v>
      </x:c>
      <x:c r="AA180" s="38">
        <x:f t="shared" si="86"/>
        <x:v>6.0606060606060615E-3</x:v>
      </x:c>
      <x:c r="AB180" s="41">
        <x:v>0.998</x:v>
      </x:c>
      <x:c r="AC180" s="38">
        <x:f t="shared" si="87"/>
        <x:v>1.5087401814571905E-2</x:v>
      </x:c>
    </x:row>
    <x:row r="181">
      <x:c r="A181" s="22" t="str">
        <x:v>SM70</x:v>
      </x:c>
      <x:c r="B181" s="22" t="s">
        <x:v>471</x:v>
      </x:c>
      <x:c r="C181" s="34">
        <x:v>5</x:v>
      </x:c>
      <x:c r="D181" s="34">
        <x:f t="shared" si="80"/>
        <x:v>720</x:v>
      </x:c>
      <x:c r="E181" s="22">
        <x:v>8</x:v>
      </x:c>
      <x:c r="F181" s="22">
        <x:v>22</x:v>
      </x:c>
      <x:c r="G181" s="22">
        <x:v>300</x:v>
      </x:c>
      <x:c r="H181" s="36">
        <x:v>800000</x:v>
      </x:c>
      <x:c r="I181" s="38">
        <x:f t="shared" si="81"/>
        <x:v>2.1043771043771042E-2</x:v>
      </x:c>
      <x:c r="J181" s="38">
        <x:v>0.62777055000000004</x:v>
      </x:c>
      <x:c r="K181" s="38">
        <x:v>12</x:v>
      </x:c>
      <x:c r="L181" s="38">
        <x:f t="shared" si="82"/>
        <x:v>1.04628425E-2</x:v>
      </x:c>
      <x:c r="M181" s="38">
        <x:v>3.7</x:v>
      </x:c>
      <x:c r="N181" s="38">
        <x:v>0</x:v>
      </x:c>
      <x:c r="O181" s="38">
        <x:f t="shared" si="83"/>
        <x:v>0</x:v>
      </x:c>
      <x:c r="P181" s="38">
        <x:f t="shared" si="84"/>
        <x:v>1.04628425E-2</x:v>
      </x:c>
      <x:c r="Q181" s="38">
        <x:v>0</x:v>
      </x:c>
      <x:c r="R181" s="38">
        <x:v>0</x:v>
      </x:c>
      <x:c r="S181" s="38">
        <x:v>0</x:v>
      </x:c>
      <x:c r="T181" s="38">
        <x:v>0</x:v>
      </x:c>
      <x:c r="U181" s="38">
        <x:v>2</x:v>
      </x:c>
      <x:c r="V181" s="38">
        <x:f t="shared" si="85"/>
        <x:v>2.7777777777777779E-3</x:v>
      </x:c>
      <x:c r="W181" s="34">
        <x:v>1</x:v>
      </x:c>
      <x:c r="X181" s="36">
        <x:v>6000</x:v>
      </x:c>
      <x:c r="Y181" s="40">
        <x:v>11</x:v>
      </x:c>
      <x:c r="Z181" s="40">
        <x:v>25</x:v>
      </x:c>
      <x:c r="AA181" s="38">
        <x:f t="shared" si="86"/>
        <x:v>3.0303030303030307E-2</x:v>
      </x:c>
      <x:c r="AB181" s="41">
        <x:v>0.98499999999999999</x:v>
      </x:c>
      <x:c r="AC181" s="38">
        <x:f t="shared" si="87"/>
        <x:v>6.5570986420892513E-2</x:v>
      </x:c>
    </x:row>
    <x:row r="182">
      <x:c r="A182" s="22" t="str">
        <x:v>SM80</x:v>
      </x:c>
      <x:c r="B182" s="22" t="s">
        <x:v>472</x:v>
      </x:c>
      <x:c r="C182" s="34">
        <x:v>6</x:v>
      </x:c>
      <x:c r="D182" s="34">
        <x:f t="shared" si="80"/>
        <x:v>600</x:v>
      </x:c>
      <x:c r="E182" s="22">
        <x:v>8</x:v>
      </x:c>
      <x:c r="F182" s="22">
        <x:v>22</x:v>
      </x:c>
      <x:c r="G182" s="22">
        <x:v>300</x:v>
      </x:c>
      <x:c r="H182" s="36">
        <x:v>500000</x:v>
      </x:c>
      <x:c r="I182" s="38">
        <x:f t="shared" si="81"/>
        <x:v>1.5782828282828284E-2</x:v>
      </x:c>
      <x:c r="J182" s="38">
        <x:v>0.62777055000000004</x:v>
      </x:c>
      <x:c r="K182" s="38">
        <x:v>2</x:v>
      </x:c>
      <x:c r="L182" s="38">
        <x:f t="shared" si="82"/>
        <x:v>2.0925685000000001E-3</x:v>
      </x:c>
      <x:c r="M182" s="38">
        <x:v>3.7</x:v>
      </x:c>
      <x:c r="N182" s="38">
        <x:v>0</x:v>
      </x:c>
      <x:c r="O182" s="38">
        <x:f t="shared" si="83"/>
        <x:v>0</x:v>
      </x:c>
      <x:c r="P182" s="38">
        <x:f t="shared" si="84"/>
        <x:v>2.0925685000000001E-3</x:v>
      </x:c>
      <x:c r="Q182" s="38">
        <x:v>0</x:v>
      </x:c>
      <x:c r="R182" s="38">
        <x:v>0</x:v>
      </x:c>
      <x:c r="S182" s="38">
        <x:v>0</x:v>
      </x:c>
      <x:c r="T182" s="38">
        <x:v>0</x:v>
      </x:c>
      <x:c r="U182" s="38">
        <x:v>2</x:v>
      </x:c>
      <x:c r="V182" s="38">
        <x:f t="shared" si="85"/>
        <x:v>3.3333333333333335E-3</x:v>
      </x:c>
      <x:c r="W182" s="34">
        <x:v>1</x:v>
      </x:c>
      <x:c r="X182" s="36">
        <x:v>6000</x:v>
      </x:c>
      <x:c r="Y182" s="40">
        <x:v>11</x:v>
      </x:c>
      <x:c r="Z182" s="40">
        <x:v>25</x:v>
      </x:c>
      <x:c r="AA182" s="38">
        <x:f t="shared" si="86"/>
        <x:v>3.6363636363636369E-2</x:v>
      </x:c>
      <x:c r="AB182" s="41">
        <x:v>0.99</x:v>
      </x:c>
      <x:c r="AC182" s="38">
        <x:f t="shared" si="87"/>
        <x:v>5.8153905535149479E-2</x:v>
      </x:c>
    </x:row>
    <x:row r="183">
      <x:c r="A183" s="22"/>
      <x:c r="B183" s="22"/>
      <x:c r="C183" s="34"/>
      <x:c r="D183" s="34"/>
      <x:c r="E183" s="22"/>
      <x:c r="F183" s="22"/>
      <x:c r="G183" s="22"/>
      <x:c r="H183" s="36"/>
      <x:c r="I183" s="38"/>
      <x:c r="J183" s="38"/>
      <x:c r="K183" s="38"/>
      <x:c r="L183" s="38"/>
      <x:c r="M183" s="38"/>
      <x:c r="N183" s="38"/>
      <x:c r="O183" s="38"/>
      <x:c r="P183" s="38"/>
      <x:c r="Q183" s="38"/>
      <x:c r="R183" s="38"/>
      <x:c r="S183" s="38"/>
      <x:c r="T183" s="38"/>
      <x:c r="U183" s="38"/>
      <x:c r="V183" s="38"/>
      <x:c r="W183" s="34"/>
      <x:c r="X183" s="36"/>
      <x:c r="Y183" s="40"/>
      <x:c r="Z183" s="40"/>
      <x:c r="AA183" s="38"/>
      <x:c r="AB183" s="41"/>
      <x:c r="AC183" s="38"/>
    </x:row>
    <x:row r="184">
      <x:c r="A184" s="22"/>
      <x:c r="B184" s="22"/>
      <x:c r="C184" s="34"/>
      <x:c r="D184" s="34"/>
      <x:c r="E184" s="22"/>
      <x:c r="F184" s="22"/>
      <x:c r="G184" s="22"/>
      <x:c r="H184" s="36"/>
      <x:c r="I184" s="38"/>
      <x:c r="J184" s="38"/>
      <x:c r="K184" s="38"/>
      <x:c r="L184" s="38"/>
      <x:c r="M184" s="38"/>
      <x:c r="N184" s="38"/>
      <x:c r="O184" s="38"/>
      <x:c r="P184" s="38"/>
      <x:c r="Q184" s="38"/>
      <x:c r="R184" s="38"/>
      <x:c r="S184" s="38"/>
      <x:c r="T184" s="38"/>
      <x:c r="U184" s="38"/>
      <x:c r="V184" s="38"/>
      <x:c r="W184" s="34"/>
      <x:c r="X184" s="36"/>
      <x:c r="Y184" s="40"/>
      <x:c r="Z184" s="40"/>
      <x:c r="AA184" s="38"/>
      <x:c r="AB184" s="41"/>
      <x:c r="AC184" s="38"/>
    </x:row>
    <x:row r="185">
      <x:c r="A185" s="22"/>
      <x:c r="B185" s="22"/>
      <x:c r="C185" s="34"/>
      <x:c r="D185" s="34"/>
      <x:c r="E185" s="22"/>
      <x:c r="F185" s="22"/>
      <x:c r="G185" s="22"/>
      <x:c r="H185" s="36"/>
      <x:c r="I185" s="38"/>
      <x:c r="J185" s="38"/>
      <x:c r="K185" s="38"/>
      <x:c r="L185" s="38"/>
      <x:c r="M185" s="38"/>
      <x:c r="N185" s="38"/>
      <x:c r="O185" s="38"/>
      <x:c r="P185" s="38"/>
      <x:c r="Q185" s="38"/>
      <x:c r="R185" s="38"/>
      <x:c r="S185" s="38"/>
      <x:c r="T185" s="38"/>
      <x:c r="U185" s="38"/>
      <x:c r="V185" s="38"/>
      <x:c r="W185" s="34"/>
      <x:c r="X185" s="36"/>
      <x:c r="Y185" s="40"/>
      <x:c r="Z185" s="40"/>
      <x:c r="AA185" s="38"/>
      <x:c r="AB185" s="41"/>
      <x:c r="AC185" s="38"/>
    </x:row>
    <x:row r="186">
      <x:c r="A186" s="22"/>
      <x:c r="B186" s="22"/>
      <x:c r="C186" s="34"/>
      <x:c r="D186" s="34"/>
      <x:c r="E186" s="22"/>
      <x:c r="F186" s="22"/>
      <x:c r="G186" s="22"/>
      <x:c r="H186" s="36"/>
      <x:c r="I186" s="38"/>
      <x:c r="J186" s="38"/>
      <x:c r="K186" s="38"/>
      <x:c r="L186" s="38"/>
      <x:c r="M186" s="38"/>
      <x:c r="N186" s="38"/>
      <x:c r="O186" s="38"/>
      <x:c r="P186" s="38"/>
      <x:c r="Q186" s="38"/>
      <x:c r="R186" s="38"/>
      <x:c r="S186" s="38"/>
      <x:c r="T186" s="38"/>
      <x:c r="U186" s="38"/>
      <x:c r="V186" s="38"/>
      <x:c r="W186" s="34"/>
      <x:c r="X186" s="36"/>
      <x:c r="Y186" s="40"/>
      <x:c r="Z186" s="40"/>
      <x:c r="AA186" s="38"/>
      <x:c r="AB186" s="41"/>
      <x:c r="AC186" s="38"/>
    </x:row>
    <x:row r="187">
      <x:c r="A187" s="22"/>
      <x:c r="B187" s="22"/>
      <x:c r="C187" s="34"/>
      <x:c r="D187" s="34"/>
      <x:c r="E187" s="22"/>
      <x:c r="F187" s="22"/>
      <x:c r="G187" s="22"/>
      <x:c r="H187" s="36"/>
      <x:c r="I187" s="38"/>
      <x:c r="J187" s="38"/>
      <x:c r="K187" s="38"/>
      <x:c r="L187" s="38"/>
      <x:c r="M187" s="38"/>
      <x:c r="N187" s="38"/>
      <x:c r="O187" s="38"/>
      <x:c r="P187" s="38"/>
      <x:c r="Q187" s="38"/>
      <x:c r="R187" s="38"/>
      <x:c r="S187" s="38"/>
      <x:c r="T187" s="38"/>
      <x:c r="U187" s="38"/>
      <x:c r="V187" s="38"/>
      <x:c r="W187" s="34"/>
      <x:c r="X187" s="36"/>
      <x:c r="Y187" s="40"/>
      <x:c r="Z187" s="40"/>
      <x:c r="AA187" s="38"/>
      <x:c r="AB187" s="41"/>
      <x:c r="AC187" s="38"/>
    </x:row>
    <x:row r="188">
      <x:c r="A188" s="22"/>
      <x:c r="B188" s="22"/>
      <x:c r="C188" s="34"/>
      <x:c r="D188" s="34"/>
      <x:c r="E188" s="22"/>
      <x:c r="F188" s="22"/>
      <x:c r="G188" s="22"/>
      <x:c r="H188" s="36"/>
      <x:c r="I188" s="38"/>
      <x:c r="J188" s="38"/>
      <x:c r="K188" s="38"/>
      <x:c r="L188" s="38"/>
      <x:c r="M188" s="38"/>
      <x:c r="N188" s="38"/>
      <x:c r="O188" s="38"/>
      <x:c r="P188" s="38"/>
      <x:c r="Q188" s="38"/>
      <x:c r="R188" s="38"/>
      <x:c r="S188" s="38"/>
      <x:c r="T188" s="38"/>
      <x:c r="U188" s="38"/>
      <x:c r="V188" s="38"/>
      <x:c r="W188" s="34"/>
      <x:c r="X188" s="36"/>
      <x:c r="Y188" s="40"/>
      <x:c r="Z188" s="40"/>
      <x:c r="AA188" s="38"/>
      <x:c r="AB188" s="41"/>
      <x:c r="AC188" s="38"/>
    </x:row>
    <x:row r="189">
      <x:c r="A189" s="22"/>
      <x:c r="B189" s="22"/>
      <x:c r="C189" s="34"/>
      <x:c r="D189" s="34"/>
      <x:c r="E189" s="22"/>
      <x:c r="F189" s="22"/>
      <x:c r="G189" s="22"/>
      <x:c r="H189" s="36"/>
      <x:c r="I189" s="38"/>
      <x:c r="J189" s="38"/>
      <x:c r="K189" s="38"/>
      <x:c r="L189" s="38"/>
      <x:c r="M189" s="38"/>
      <x:c r="N189" s="38"/>
      <x:c r="O189" s="38"/>
      <x:c r="P189" s="38"/>
      <x:c r="Q189" s="38"/>
      <x:c r="R189" s="38"/>
      <x:c r="S189" s="38"/>
      <x:c r="T189" s="38"/>
      <x:c r="U189" s="38"/>
      <x:c r="V189" s="38"/>
      <x:c r="W189" s="34"/>
      <x:c r="X189" s="36"/>
      <x:c r="Y189" s="40"/>
      <x:c r="Z189" s="40"/>
      <x:c r="AA189" s="38"/>
      <x:c r="AB189" s="41"/>
      <x:c r="AC189" s="38"/>
    </x:row>
    <x:row r="190">
      <x:c r="A190" s="22"/>
      <x:c r="B190" s="22"/>
      <x:c r="C190" s="34"/>
      <x:c r="D190" s="34"/>
      <x:c r="E190" s="22"/>
      <x:c r="F190" s="22"/>
      <x:c r="G190" s="22"/>
      <x:c r="H190" s="36"/>
      <x:c r="I190" s="38"/>
      <x:c r="J190" s="38"/>
      <x:c r="K190" s="38"/>
      <x:c r="L190" s="38"/>
      <x:c r="M190" s="38"/>
      <x:c r="N190" s="38"/>
      <x:c r="O190" s="38"/>
      <x:c r="P190" s="38"/>
      <x:c r="Q190" s="38"/>
      <x:c r="R190" s="38"/>
      <x:c r="S190" s="38"/>
      <x:c r="T190" s="38"/>
      <x:c r="U190" s="38"/>
      <x:c r="V190" s="38"/>
      <x:c r="W190" s="34"/>
      <x:c r="X190" s="36"/>
      <x:c r="Y190" s="40"/>
      <x:c r="Z190" s="40"/>
      <x:c r="AA190" s="38"/>
      <x:c r="AB190" s="41"/>
      <x:c r="AC190" s="38"/>
    </x:row>
    <x:row r="191">
      <x:c r="A191" s="22"/>
      <x:c r="B191" s="22"/>
      <x:c r="C191" s="34"/>
      <x:c r="D191" s="34"/>
      <x:c r="E191" s="22"/>
      <x:c r="F191" s="22"/>
      <x:c r="G191" s="22"/>
      <x:c r="H191" s="36"/>
      <x:c r="I191" s="38"/>
      <x:c r="J191" s="38"/>
      <x:c r="K191" s="38"/>
      <x:c r="L191" s="38"/>
      <x:c r="M191" s="38"/>
      <x:c r="N191" s="38"/>
      <x:c r="O191" s="38"/>
      <x:c r="P191" s="38"/>
      <x:c r="Q191" s="38"/>
      <x:c r="R191" s="38"/>
      <x:c r="S191" s="38"/>
      <x:c r="T191" s="38"/>
      <x:c r="U191" s="38"/>
      <x:c r="V191" s="38"/>
      <x:c r="W191" s="34"/>
      <x:c r="X191" s="36"/>
      <x:c r="Y191" s="40"/>
      <x:c r="Z191" s="40"/>
      <x:c r="AA191" s="38"/>
      <x:c r="AB191" s="41"/>
      <x:c r="AC191" s="38"/>
    </x:row>
    <x:row r="192">
      <x:c r="A192" s="43" t="str">
        <x:v>电镀工序</x:v>
      </x:c>
      <x:c r="B192" s="43"/>
      <x:c r="C192" s="44"/>
      <x:c r="D192" s="44"/>
      <x:c r="E192" s="43"/>
      <x:c r="F192" s="43"/>
      <x:c r="G192" s="43"/>
      <x:c r="H192" s="45"/>
      <x:c r="I192" s="46"/>
      <x:c r="J192" s="46"/>
      <x:c r="K192" s="46"/>
      <x:c r="L192" s="46"/>
      <x:c r="M192" s="46"/>
      <x:c r="N192" s="46"/>
      <x:c r="O192" s="46"/>
      <x:c r="P192" s="46"/>
      <x:c r="Q192" s="46"/>
      <x:c r="R192" s="46"/>
      <x:c r="S192" s="46"/>
      <x:c r="T192" s="46"/>
      <x:c r="U192" s="46"/>
      <x:c r="V192" s="46"/>
      <x:c r="W192" s="44"/>
      <x:c r="X192" s="45"/>
      <x:c r="Y192" s="47"/>
      <x:c r="Z192" s="47"/>
      <x:c r="AA192" s="46"/>
      <x:c r="AB192" s="48"/>
      <x:c r="AC192" s="46"/>
    </x:row>
    <x:row r="193">
      <x:c r="A193" s="22" t="str">
        <x:v>PL10</x:v>
      </x:c>
      <x:c r="B193" s="22" t="s">
        <x:v>473</x:v>
      </x:c>
      <x:c r="C193" s="34">
        <x:v>6</x:v>
      </x:c>
      <x:c r="D193" s="34" t="n">
        <x:f t="shared" ref="D193:D198" si="88">IFERROR(60*60/C193,0)</x:f>
        <x:v>600</x:v>
      </x:c>
      <x:c r="E193" s="22">
        <x:v>10</x:v>
      </x:c>
      <x:c r="F193" s="22">
        <x:v>22</x:v>
      </x:c>
      <x:c r="G193" s="22">
        <x:v>300</x:v>
      </x:c>
      <x:c r="H193" s="36">
        <x:v>1800000</x:v>
      </x:c>
      <x:c r="I193" s="38" t="n">
        <x:f t="shared" ref="I193:I198" si="89">IFERROR(H193/E193/F193/G193/D193,0)</x:f>
        <x:v>0.045454545454545456</x:v>
      </x:c>
      <x:c r="J193" s="38">
        <x:v>0.62777055000000004</x:v>
      </x:c>
      <x:c r="K193" s="38">
        <x:v>35</x:v>
      </x:c>
      <x:c r="L193" s="38" t="n">
        <x:f t="shared" ref="L193:L198" si="90">IFERROR(J193*K193/D193,0)</x:f>
        <x:v>0.03661994875</x:v>
      </x:c>
      <x:c r="M193" s="38">
        <x:v>3.7</x:v>
      </x:c>
      <x:c r="N193" s="38">
        <x:v>0</x:v>
      </x:c>
      <x:c r="O193" s="38" t="n">
        <x:f t="shared" ref="O193:O198" si="91">IFERROR(N193*M193/D193,0)</x:f>
        <x:v>0</x:v>
      </x:c>
      <x:c r="P193" s="38" t="n">
        <x:f t="shared" ref="P193:P198" si="92">O193+L193</x:f>
        <x:v>0.03661994875</x:v>
      </x:c>
      <x:c r="Q193" s="38">
        <x:v>0</x:v>
      </x:c>
      <x:c r="R193" s="38">
        <x:v>0</x:v>
      </x:c>
      <x:c r="S193" s="38">
        <x:v>6</x:v>
      </x:c>
      <x:c r="T193" s="38">
        <x:v>0</x:v>
      </x:c>
      <x:c r="U193" s="38">
        <x:v>2</x:v>
      </x:c>
      <x:c r="V193" s="38" t="n">
        <x:f t="shared" ref="V193:V198" si="93">IFERROR((Q193+R193+S193+T193+U193)/D193,0)</x:f>
        <x:v>0.013333333333333334</x:v>
      </x:c>
      <x:c r="W193" s="34">
        <x:v>3</x:v>
      </x:c>
      <x:c r="X193" s="36">
        <x:v>6000</x:v>
      </x:c>
      <x:c r="Y193" s="40">
        <x:v>11</x:v>
      </x:c>
      <x:c r="Z193" s="40">
        <x:v>25</x:v>
      </x:c>
      <x:c r="AA193" s="38" t="n">
        <x:f t="shared" ref="AA193:AA198" si="94">IFERROR((W193*X193)/Y193/Z193/D193,0)</x:f>
        <x:v>0.10909090909090909</x:v>
      </x:c>
      <x:c r="AB193" s="41">
        <x:v>0.95</x:v>
      </x:c>
      <x:c r="AC193" s="38" t="n">
        <x:f t="shared" ref="AC193:AC198" si="95">IFERROR((I193+P193+V193+AA193)/AB193,0)</x:f>
        <x:v>0.21526182803030303</x:v>
      </x:c>
    </x:row>
    <x:row r="194">
      <x:c r="A194" s="22" t="str">
        <x:v>PL20</x:v>
      </x:c>
      <x:c r="B194" s="22" t="s">
        <x:v>474</x:v>
      </x:c>
      <x:c r="C194" s="34">
        <x:v>8</x:v>
      </x:c>
      <x:c r="D194" s="34">
        <x:f t="shared" si="88"/>
        <x:v>450</x:v>
      </x:c>
      <x:c r="E194" s="22">
        <x:v>10</x:v>
      </x:c>
      <x:c r="F194" s="22">
        <x:v>22</x:v>
      </x:c>
      <x:c r="G194" s="22">
        <x:v>300</x:v>
      </x:c>
      <x:c r="H194" s="36">
        <x:v>2200000</x:v>
      </x:c>
      <x:c r="I194" s="38">
        <x:f t="shared" si="89"/>
        <x:v>7.4074074074074084E-2</x:v>
      </x:c>
      <x:c r="J194" s="38">
        <x:v>0.62777055000000004</x:v>
      </x:c>
      <x:c r="K194" s="38">
        <x:v>40</x:v>
      </x:c>
      <x:c r="L194" s="38">
        <x:f t="shared" si="90"/>
        <x:v>5.5801826666666672E-2</x:v>
      </x:c>
      <x:c r="M194" s="38">
        <x:v>3.7</x:v>
      </x:c>
      <x:c r="N194" s="38">
        <x:v>0</x:v>
      </x:c>
      <x:c r="O194" s="38">
        <x:f t="shared" si="91"/>
        <x:v>0</x:v>
      </x:c>
      <x:c r="P194" s="38">
        <x:f t="shared" si="92"/>
        <x:v>5.5801826666666672E-2</x:v>
      </x:c>
      <x:c r="Q194" s="38">
        <x:v>0</x:v>
      </x:c>
      <x:c r="R194" s="38">
        <x:v>0</x:v>
      </x:c>
      <x:c r="S194" s="38">
        <x:v>6</x:v>
      </x:c>
      <x:c r="T194" s="38">
        <x:v>0</x:v>
      </x:c>
      <x:c r="U194" s="38">
        <x:v>2</x:v>
      </x:c>
      <x:c r="V194" s="38">
        <x:f t="shared" si="93"/>
        <x:v>1.7777777777777778E-2</x:v>
      </x:c>
      <x:c r="W194" s="34">
        <x:v>3</x:v>
      </x:c>
      <x:c r="X194" s="36">
        <x:v>6000</x:v>
      </x:c>
      <x:c r="Y194" s="40">
        <x:v>11</x:v>
      </x:c>
      <x:c r="Z194" s="40">
        <x:v>25</x:v>
      </x:c>
      <x:c r="AA194" s="38">
        <x:f t="shared" si="94"/>
        <x:v>0.14545454545454545</x:v>
      </x:c>
      <x:c r="AB194" s="41">
        <x:v>0.95</x:v>
      </x:c>
      <x:c r="AC194" s="38">
        <x:f t="shared" si="95"/>
        <x:v>0.30853497260322532</x:v>
      </x:c>
    </x:row>
    <x:row r="195">
      <x:c r="A195" s="22" t="str">
        <x:v>PL30</x:v>
      </x:c>
      <x:c r="B195" s="22" t="s">
        <x:v>475</x:v>
      </x:c>
      <x:c r="C195" s="34">
        <x:v>7</x:v>
      </x:c>
      <x:c r="D195" s="34">
        <x:f t="shared" si="88"/>
        <x:v>514.28571428571433</x:v>
      </x:c>
      <x:c r="E195" s="22">
        <x:v>10</x:v>
      </x:c>
      <x:c r="F195" s="22">
        <x:v>22</x:v>
      </x:c>
      <x:c r="G195" s="22">
        <x:v>300</x:v>
      </x:c>
      <x:c r="H195" s="36">
        <x:v>2000000</x:v>
      </x:c>
      <x:c r="I195" s="38">
        <x:f t="shared" si="89"/>
        <x:v>5.8922558922558911E-2</x:v>
      </x:c>
      <x:c r="J195" s="38">
        <x:v>0.62777055000000004</x:v>
      </x:c>
      <x:c r="K195" s="38">
        <x:v>38</x:v>
      </x:c>
      <x:c r="L195" s="38">
        <x:f t="shared" si="90"/>
        <x:v>4.638526841666666E-2</x:v>
      </x:c>
      <x:c r="M195" s="38">
        <x:v>3.7</x:v>
      </x:c>
      <x:c r="N195" s="38">
        <x:v>0</x:v>
      </x:c>
      <x:c r="O195" s="38">
        <x:f t="shared" si="91"/>
        <x:v>0</x:v>
      </x:c>
      <x:c r="P195" s="38">
        <x:f t="shared" si="92"/>
        <x:v>4.638526841666666E-2</x:v>
      </x:c>
      <x:c r="Q195" s="38">
        <x:v>0</x:v>
      </x:c>
      <x:c r="R195" s="38">
        <x:v>0</x:v>
      </x:c>
      <x:c r="S195" s="38">
        <x:v>6</x:v>
      </x:c>
      <x:c r="T195" s="38">
        <x:v>0</x:v>
      </x:c>
      <x:c r="U195" s="38">
        <x:v>2</x:v>
      </x:c>
      <x:c r="V195" s="38">
        <x:f t="shared" si="93"/>
        <x:v>1.5555555555555553E-2</x:v>
      </x:c>
      <x:c r="W195" s="34">
        <x:v>3</x:v>
      </x:c>
      <x:c r="X195" s="36">
        <x:v>6000</x:v>
      </x:c>
      <x:c r="Y195" s="40">
        <x:v>11</x:v>
      </x:c>
      <x:c r="Z195" s="40">
        <x:v>25</x:v>
      </x:c>
      <x:c r="AA195" s="38">
        <x:f t="shared" si="94"/>
        <x:v>0.12727272727272726</x:v>
      </x:c>
      <x:c r="AB195" s="41">
        <x:v>0.95</x:v>
      </x:c>
      <x:c r="AC195" s="38">
        <x:f t="shared" si="95"/>
        <x:v>0.26119590543948251</x:v>
      </x:c>
    </x:row>
    <x:row r="196">
      <x:c r="A196" s="22" t="str">
        <x:v>PL40</x:v>
      </x:c>
      <x:c r="B196" s="22" t="s">
        <x:v>476</x:v>
      </x:c>
      <x:c r="C196" s="34">
        <x:v>10</x:v>
      </x:c>
      <x:c r="D196" s="34">
        <x:f t="shared" si="88"/>
        <x:v>360</x:v>
      </x:c>
      <x:c r="E196" s="22">
        <x:v>10</x:v>
      </x:c>
      <x:c r="F196" s="22">
        <x:v>22</x:v>
      </x:c>
      <x:c r="G196" s="22">
        <x:v>300</x:v>
      </x:c>
      <x:c r="H196" s="36">
        <x:v>2600000</x:v>
      </x:c>
      <x:c r="I196" s="38">
        <x:f t="shared" si="89"/>
        <x:v>0.10942760942760942</x:v>
      </x:c>
      <x:c r="J196" s="38">
        <x:v>0.62777055000000004</x:v>
      </x:c>
      <x:c r="K196" s="38">
        <x:v>45</x:v>
      </x:c>
      <x:c r="L196" s="38">
        <x:f t="shared" si="90"/>
        <x:v>7.8471318750000005E-2</x:v>
      </x:c>
      <x:c r="M196" s="38">
        <x:v>3.7</x:v>
      </x:c>
      <x:c r="N196" s="38">
        <x:v>0</x:v>
      </x:c>
      <x:c r="O196" s="38">
        <x:f t="shared" si="91"/>
        <x:v>0</x:v>
      </x:c>
      <x:c r="P196" s="38">
        <x:f t="shared" si="92"/>
        <x:v>7.8471318750000005E-2</x:v>
      </x:c>
      <x:c r="Q196" s="38">
        <x:v>0</x:v>
      </x:c>
      <x:c r="R196" s="38">
        <x:v>0</x:v>
      </x:c>
      <x:c r="S196" s="38">
        <x:v>6</x:v>
      </x:c>
      <x:c r="T196" s="38">
        <x:v>0</x:v>
      </x:c>
      <x:c r="U196" s="38">
        <x:v>2</x:v>
      </x:c>
      <x:c r="V196" s="38">
        <x:f t="shared" si="93"/>
        <x:v>2.2222222222222223E-2</x:v>
      </x:c>
      <x:c r="W196" s="34">
        <x:v>3</x:v>
      </x:c>
      <x:c r="X196" s="36">
        <x:v>6000</x:v>
      </x:c>
      <x:c r="Y196" s="40">
        <x:v>11</x:v>
      </x:c>
      <x:c r="Z196" s="40">
        <x:v>25</x:v>
      </x:c>
      <x:c r="AA196" s="38">
        <x:f t="shared" si="94"/>
        <x:v>0.18181818181818182</x:v>
      </x:c>
      <x:c r="AB196" s="41">
        <x:v>0.94</x:v>
      </x:c>
      <x:c r="AC196" s="38">
        <x:f t="shared" si="95"/>
        <x:v>0.41695673640214204</x:v>
      </x:c>
    </x:row>
    <x:row r="197">
      <x:c r="A197" s="22" t="str">
        <x:v>PL50</x:v>
      </x:c>
      <x:c r="B197" s="22" t="s">
        <x:v>477</x:v>
      </x:c>
      <x:c r="C197" s="34">
        <x:v>12</x:v>
      </x:c>
      <x:c r="D197" s="34">
        <x:f t="shared" si="88"/>
        <x:v>300</x:v>
      </x:c>
      <x:c r="E197" s="22">
        <x:v>10</x:v>
      </x:c>
      <x:c r="F197" s="22">
        <x:v>22</x:v>
      </x:c>
      <x:c r="G197" s="22">
        <x:v>300</x:v>
      </x:c>
      <x:c r="H197" s="36">
        <x:v>2400000</x:v>
      </x:c>
      <x:c r="I197" s="38">
        <x:f t="shared" si="89"/>
        <x:v>0.12121212121212123</x:v>
      </x:c>
      <x:c r="J197" s="38">
        <x:v>0.62777055000000004</x:v>
      </x:c>
      <x:c r="K197" s="38">
        <x:v>40</x:v>
      </x:c>
      <x:c r="L197" s="38">
        <x:f t="shared" si="90"/>
        <x:v>8.3702740000000012E-2</x:v>
      </x:c>
      <x:c r="M197" s="38">
        <x:v>3.7</x:v>
      </x:c>
      <x:c r="N197" s="38">
        <x:v>0</x:v>
      </x:c>
      <x:c r="O197" s="38">
        <x:f t="shared" si="91"/>
        <x:v>0</x:v>
      </x:c>
      <x:c r="P197" s="38">
        <x:f t="shared" si="92"/>
        <x:v>8.3702740000000012E-2</x:v>
      </x:c>
      <x:c r="Q197" s="38">
        <x:v>0</x:v>
      </x:c>
      <x:c r="R197" s="38">
        <x:v>0</x:v>
      </x:c>
      <x:c r="S197" s="38">
        <x:v>6</x:v>
      </x:c>
      <x:c r="T197" s="38">
        <x:v>0</x:v>
      </x:c>
      <x:c r="U197" s="38">
        <x:v>2</x:v>
      </x:c>
      <x:c r="V197" s="38">
        <x:f t="shared" si="93"/>
        <x:v>2.6666666666666668E-2</x:v>
      </x:c>
      <x:c r="W197" s="34">
        <x:v>3</x:v>
      </x:c>
      <x:c r="X197" s="36">
        <x:v>6000</x:v>
      </x:c>
      <x:c r="Y197" s="40">
        <x:v>11</x:v>
      </x:c>
      <x:c r="Z197" s="40">
        <x:v>25</x:v>
      </x:c>
      <x:c r="AA197" s="38">
        <x:f t="shared" si="94"/>
        <x:v>0.21818181818181817</x:v>
      </x:c>
      <x:c r="AB197" s="41">
        <x:v>0.94499999999999995</x:v>
      </x:c>
      <x:c r="AC197" s="38">
        <x:f t="shared" si="95"/>
        <x:v>0.47594004874138213</x:v>
      </x:c>
    </x:row>
    <x:row r="198">
      <x:c r="A198" s="22" t="str">
        <x:v>PL60</x:v>
      </x:c>
      <x:c r="B198" s="22" t="s">
        <x:v>478</x:v>
      </x:c>
      <x:c r="C198" s="34">
        <x:v>8</x:v>
      </x:c>
      <x:c r="D198" s="34">
        <x:f t="shared" si="88"/>
        <x:v>450</x:v>
      </x:c>
      <x:c r="E198" s="22">
        <x:v>10</x:v>
      </x:c>
      <x:c r="F198" s="22">
        <x:v>22</x:v>
      </x:c>
      <x:c r="G198" s="22">
        <x:v>300</x:v>
      </x:c>
      <x:c r="H198" s="36">
        <x:v>1800000</x:v>
      </x:c>
      <x:c r="I198" s="38">
        <x:f t="shared" si="89"/>
        <x:v>6.0606060606060608E-2</x:v>
      </x:c>
      <x:c r="J198" s="38">
        <x:v>0.62777055000000004</x:v>
      </x:c>
      <x:c r="K198" s="38">
        <x:v>35</x:v>
      </x:c>
      <x:c r="L198" s="38">
        <x:f t="shared" si="90"/>
        <x:v>4.8826598333333332E-2</x:v>
      </x:c>
      <x:c r="M198" s="38">
        <x:v>3.7</x:v>
      </x:c>
      <x:c r="N198" s="38">
        <x:v>0</x:v>
      </x:c>
      <x:c r="O198" s="38">
        <x:f t="shared" si="91"/>
        <x:v>0</x:v>
      </x:c>
      <x:c r="P198" s="38">
        <x:f t="shared" si="92"/>
        <x:v>4.8826598333333332E-2</x:v>
      </x:c>
      <x:c r="Q198" s="38">
        <x:v>0</x:v>
      </x:c>
      <x:c r="R198" s="38">
        <x:v>0</x:v>
      </x:c>
      <x:c r="S198" s="38">
        <x:v>6</x:v>
      </x:c>
      <x:c r="T198" s="38">
        <x:v>0</x:v>
      </x:c>
      <x:c r="U198" s="38">
        <x:v>2</x:v>
      </x:c>
      <x:c r="V198" s="38">
        <x:f t="shared" si="93"/>
        <x:v>1.7777777777777778E-2</x:v>
      </x:c>
      <x:c r="W198" s="34">
        <x:v>3</x:v>
      </x:c>
      <x:c r="X198" s="36">
        <x:v>6000</x:v>
      </x:c>
      <x:c r="Y198" s="40">
        <x:v>11</x:v>
      </x:c>
      <x:c r="Z198" s="40">
        <x:v>25</x:v>
      </x:c>
      <x:c r="AA198" s="38">
        <x:f t="shared" si="94"/>
        <x:v>0.14545454545454545</x:v>
      </x:c>
      <x:c r="AB198" s="41">
        <x:v>0.95</x:v>
      </x:c>
      <x:c r="AC198" s="38">
        <x:f t="shared" si="95"/>
        <x:v>0.28701577070707074</x:v>
      </x:c>
    </x:row>
    <x:row r="199">
      <x:c r="A199" s="22"/>
      <x:c r="B199" s="22"/>
      <x:c r="C199" s="34"/>
      <x:c r="D199" s="34"/>
      <x:c r="E199" s="22"/>
      <x:c r="F199" s="22"/>
      <x:c r="G199" s="22"/>
      <x:c r="H199" s="36"/>
      <x:c r="I199" s="38"/>
      <x:c r="J199" s="38"/>
      <x:c r="K199" s="38"/>
      <x:c r="L199" s="38"/>
      <x:c r="M199" s="38"/>
      <x:c r="N199" s="38"/>
      <x:c r="O199" s="38"/>
      <x:c r="P199" s="38"/>
      <x:c r="Q199" s="38"/>
      <x:c r="R199" s="38"/>
      <x:c r="S199" s="38"/>
      <x:c r="T199" s="38"/>
      <x:c r="U199" s="38"/>
      <x:c r="V199" s="38"/>
      <x:c r="W199" s="34"/>
      <x:c r="X199" s="36"/>
      <x:c r="Y199" s="40"/>
      <x:c r="Z199" s="40"/>
      <x:c r="AA199" s="38"/>
      <x:c r="AB199" s="41"/>
      <x:c r="AC199" s="38"/>
    </x:row>
    <x:row r="200">
      <x:c r="A200" s="22"/>
      <x:c r="B200" s="22"/>
      <x:c r="C200" s="34"/>
      <x:c r="D200" s="34"/>
      <x:c r="E200" s="22"/>
      <x:c r="F200" s="22"/>
      <x:c r="G200" s="22"/>
      <x:c r="H200" s="36"/>
      <x:c r="I200" s="38"/>
      <x:c r="J200" s="38"/>
      <x:c r="K200" s="38"/>
      <x:c r="L200" s="38"/>
      <x:c r="M200" s="38"/>
      <x:c r="N200" s="38"/>
      <x:c r="O200" s="38"/>
      <x:c r="P200" s="38"/>
      <x:c r="Q200" s="38"/>
      <x:c r="R200" s="38"/>
      <x:c r="S200" s="38"/>
      <x:c r="T200" s="38"/>
      <x:c r="U200" s="38"/>
      <x:c r="V200" s="38"/>
      <x:c r="W200" s="34"/>
      <x:c r="X200" s="36"/>
      <x:c r="Y200" s="40"/>
      <x:c r="Z200" s="40"/>
      <x:c r="AA200" s="38"/>
      <x:c r="AB200" s="41"/>
      <x:c r="AC200" s="38"/>
    </x:row>
    <x:row r="201">
      <x:c r="A201" s="22"/>
      <x:c r="B201" s="22"/>
      <x:c r="C201" s="34"/>
      <x:c r="D201" s="34"/>
      <x:c r="E201" s="22"/>
      <x:c r="F201" s="22"/>
      <x:c r="G201" s="22"/>
      <x:c r="H201" s="36"/>
      <x:c r="I201" s="38"/>
      <x:c r="J201" s="38"/>
      <x:c r="K201" s="38"/>
      <x:c r="L201" s="38"/>
      <x:c r="M201" s="38"/>
      <x:c r="N201" s="38"/>
      <x:c r="O201" s="38"/>
      <x:c r="P201" s="38"/>
      <x:c r="Q201" s="38"/>
      <x:c r="R201" s="38"/>
      <x:c r="S201" s="38"/>
      <x:c r="T201" s="38"/>
      <x:c r="U201" s="38"/>
      <x:c r="V201" s="38"/>
      <x:c r="W201" s="34"/>
      <x:c r="X201" s="36"/>
      <x:c r="Y201" s="40"/>
      <x:c r="Z201" s="40"/>
      <x:c r="AA201" s="38"/>
      <x:c r="AB201" s="41"/>
      <x:c r="AC201" s="38"/>
    </x:row>
    <x:row r="202">
      <x:c r="A202" s="22"/>
      <x:c r="B202" s="22"/>
      <x:c r="C202" s="34"/>
      <x:c r="D202" s="34"/>
      <x:c r="E202" s="22"/>
      <x:c r="F202" s="22"/>
      <x:c r="G202" s="22"/>
      <x:c r="H202" s="36"/>
      <x:c r="I202" s="38"/>
      <x:c r="J202" s="38"/>
      <x:c r="K202" s="38"/>
      <x:c r="L202" s="38"/>
      <x:c r="M202" s="38"/>
      <x:c r="N202" s="38"/>
      <x:c r="O202" s="38"/>
      <x:c r="P202" s="38"/>
      <x:c r="Q202" s="38"/>
      <x:c r="R202" s="38"/>
      <x:c r="S202" s="38"/>
      <x:c r="T202" s="38"/>
      <x:c r="U202" s="38"/>
      <x:c r="V202" s="38"/>
      <x:c r="W202" s="34"/>
      <x:c r="X202" s="36"/>
      <x:c r="Y202" s="40"/>
      <x:c r="Z202" s="40"/>
      <x:c r="AA202" s="38"/>
      <x:c r="AB202" s="41"/>
      <x:c r="AC202" s="38"/>
    </x:row>
    <x:row r="203">
      <x:c r="A203" s="22"/>
      <x:c r="B203" s="22"/>
      <x:c r="C203" s="34"/>
      <x:c r="D203" s="34"/>
      <x:c r="E203" s="22"/>
      <x:c r="F203" s="22"/>
      <x:c r="G203" s="22"/>
      <x:c r="H203" s="36"/>
      <x:c r="I203" s="38"/>
      <x:c r="J203" s="38"/>
      <x:c r="K203" s="38"/>
      <x:c r="L203" s="38"/>
      <x:c r="M203" s="38"/>
      <x:c r="N203" s="38"/>
      <x:c r="O203" s="38"/>
      <x:c r="P203" s="38"/>
      <x:c r="Q203" s="38"/>
      <x:c r="R203" s="38"/>
      <x:c r="S203" s="38"/>
      <x:c r="T203" s="38"/>
      <x:c r="U203" s="38"/>
      <x:c r="V203" s="38"/>
      <x:c r="W203" s="34"/>
      <x:c r="X203" s="36"/>
      <x:c r="Y203" s="40"/>
      <x:c r="Z203" s="40"/>
      <x:c r="AA203" s="38"/>
      <x:c r="AB203" s="41"/>
      <x:c r="AC203" s="38"/>
    </x:row>
    <x:row r="204">
      <x:c r="A204" s="22"/>
      <x:c r="B204" s="22"/>
      <x:c r="C204" s="34"/>
      <x:c r="D204" s="34"/>
      <x:c r="E204" s="22"/>
      <x:c r="F204" s="22"/>
      <x:c r="G204" s="22"/>
      <x:c r="H204" s="36"/>
      <x:c r="I204" s="38"/>
      <x:c r="J204" s="38"/>
      <x:c r="K204" s="38"/>
      <x:c r="L204" s="38"/>
      <x:c r="M204" s="38"/>
      <x:c r="N204" s="38"/>
      <x:c r="O204" s="38"/>
      <x:c r="P204" s="38"/>
      <x:c r="Q204" s="38"/>
      <x:c r="R204" s="38"/>
      <x:c r="S204" s="38"/>
      <x:c r="T204" s="38"/>
      <x:c r="U204" s="38"/>
      <x:c r="V204" s="38"/>
      <x:c r="W204" s="34"/>
      <x:c r="X204" s="36"/>
      <x:c r="Y204" s="40"/>
      <x:c r="Z204" s="40"/>
      <x:c r="AA204" s="38"/>
      <x:c r="AB204" s="41"/>
      <x:c r="AC204" s="38"/>
    </x:row>
    <x:row r="205">
      <x:c r="A205" s="22"/>
      <x:c r="B205" s="22"/>
      <x:c r="C205" s="34"/>
      <x:c r="D205" s="34"/>
      <x:c r="E205" s="22"/>
      <x:c r="F205" s="22"/>
      <x:c r="G205" s="22"/>
      <x:c r="H205" s="36"/>
      <x:c r="I205" s="38"/>
      <x:c r="J205" s="38"/>
      <x:c r="K205" s="38"/>
      <x:c r="L205" s="38"/>
      <x:c r="M205" s="38"/>
      <x:c r="N205" s="38"/>
      <x:c r="O205" s="38"/>
      <x:c r="P205" s="38"/>
      <x:c r="Q205" s="38"/>
      <x:c r="R205" s="38"/>
      <x:c r="S205" s="38"/>
      <x:c r="T205" s="38"/>
      <x:c r="U205" s="38"/>
      <x:c r="V205" s="38"/>
      <x:c r="W205" s="34"/>
      <x:c r="X205" s="36"/>
      <x:c r="Y205" s="40"/>
      <x:c r="Z205" s="40"/>
      <x:c r="AA205" s="38"/>
      <x:c r="AB205" s="41"/>
      <x:c r="AC205" s="38"/>
    </x:row>
    <x:row r="206">
      <x:c r="A206" s="22"/>
      <x:c r="B206" s="22"/>
      <x:c r="C206" s="34"/>
      <x:c r="D206" s="34"/>
      <x:c r="E206" s="22"/>
      <x:c r="F206" s="22"/>
      <x:c r="G206" s="22"/>
      <x:c r="H206" s="36"/>
      <x:c r="I206" s="38"/>
      <x:c r="J206" s="38"/>
      <x:c r="K206" s="38"/>
      <x:c r="L206" s="38"/>
      <x:c r="M206" s="38"/>
      <x:c r="N206" s="38"/>
      <x:c r="O206" s="38"/>
      <x:c r="P206" s="38"/>
      <x:c r="Q206" s="38"/>
      <x:c r="R206" s="38"/>
      <x:c r="S206" s="38"/>
      <x:c r="T206" s="38"/>
      <x:c r="U206" s="38"/>
      <x:c r="V206" s="38"/>
      <x:c r="W206" s="34"/>
      <x:c r="X206" s="36"/>
      <x:c r="Y206" s="40"/>
      <x:c r="Z206" s="40"/>
      <x:c r="AA206" s="38"/>
      <x:c r="AB206" s="41"/>
      <x:c r="AC206" s="38"/>
    </x:row>
    <x:row r="207">
      <x:c r="A207" s="22"/>
      <x:c r="B207" s="22"/>
      <x:c r="C207" s="34"/>
      <x:c r="D207" s="34"/>
      <x:c r="E207" s="22"/>
      <x:c r="F207" s="22"/>
      <x:c r="G207" s="22"/>
      <x:c r="H207" s="36"/>
      <x:c r="I207" s="38"/>
      <x:c r="J207" s="38"/>
      <x:c r="K207" s="38"/>
      <x:c r="L207" s="38"/>
      <x:c r="M207" s="38"/>
      <x:c r="N207" s="38"/>
      <x:c r="O207" s="38"/>
      <x:c r="P207" s="38"/>
      <x:c r="Q207" s="38"/>
      <x:c r="R207" s="38"/>
      <x:c r="S207" s="38"/>
      <x:c r="T207" s="38"/>
      <x:c r="U207" s="38"/>
      <x:c r="V207" s="38"/>
      <x:c r="W207" s="34"/>
      <x:c r="X207" s="36"/>
      <x:c r="Y207" s="40"/>
      <x:c r="Z207" s="40"/>
      <x:c r="AA207" s="38"/>
      <x:c r="AB207" s="41"/>
      <x:c r="AC207" s="38"/>
    </x:row>
    <x:row r="208">
      <x:c r="A208" s="43" t="str">
        <x:v>铝挤工序</x:v>
      </x:c>
      <x:c r="B208" s="43"/>
      <x:c r="C208" s="44"/>
      <x:c r="D208" s="44"/>
      <x:c r="E208" s="43"/>
      <x:c r="F208" s="43"/>
      <x:c r="G208" s="43"/>
      <x:c r="H208" s="45"/>
      <x:c r="I208" s="46"/>
      <x:c r="J208" s="46"/>
      <x:c r="K208" s="46"/>
      <x:c r="L208" s="46"/>
      <x:c r="M208" s="46"/>
      <x:c r="N208" s="46"/>
      <x:c r="O208" s="46"/>
      <x:c r="P208" s="46"/>
      <x:c r="Q208" s="46"/>
      <x:c r="R208" s="46"/>
      <x:c r="S208" s="46"/>
      <x:c r="T208" s="46"/>
      <x:c r="U208" s="46"/>
      <x:c r="V208" s="46"/>
      <x:c r="W208" s="44"/>
      <x:c r="X208" s="45"/>
      <x:c r="Y208" s="47"/>
      <x:c r="Z208" s="47"/>
      <x:c r="AA208" s="46"/>
      <x:c r="AB208" s="48"/>
      <x:c r="AC208" s="46"/>
    </x:row>
    <x:row r="209">
      <x:c r="A209" s="22" t="str">
        <x:v>EX10</x:v>
      </x:c>
      <x:c r="B209" s="22" t="s">
        <x:v>479</x:v>
      </x:c>
      <x:c r="C209" s="34">
        <x:v>8</x:v>
      </x:c>
      <x:c r="D209" s="34" t="n">
        <x:f t="shared" ref="D209:D214" si="96">IFERROR(60*60/C209,0)</x:f>
        <x:v>450</x:v>
      </x:c>
      <x:c r="E209" s="22">
        <x:v>12</x:v>
      </x:c>
      <x:c r="F209" s="22">
        <x:v>22</x:v>
      </x:c>
      <x:c r="G209" s="22">
        <x:v>300</x:v>
      </x:c>
      <x:c r="H209" s="36">
        <x:v>3500000</x:v>
      </x:c>
      <x:c r="I209" s="38" t="n">
        <x:f t="shared" ref="I209:I214" si="97">IFERROR(H209/E209/F209/G209/D209,0)</x:f>
        <x:v>0.09820426487093153</x:v>
      </x:c>
      <x:c r="J209" s="38">
        <x:v>0.62777055000000004</x:v>
      </x:c>
      <x:c r="K209" s="38">
        <x:v>160</x:v>
      </x:c>
      <x:c r="L209" s="38" t="n">
        <x:f t="shared" ref="L209:L214" si="98">IFERROR(J209*K209/D209,0)</x:f>
        <x:v>0.2232073066666667</x:v>
      </x:c>
      <x:c r="M209" s="38">
        <x:v>3.7</x:v>
      </x:c>
      <x:c r="N209" s="38">
        <x:v>8</x:v>
      </x:c>
      <x:c r="O209" s="38" t="n">
        <x:f t="shared" ref="O209:O214" si="99">IFERROR(N209*M209/D209,0)</x:f>
        <x:v>0.06577777777777778</x:v>
      </x:c>
      <x:c r="P209" s="38" t="n">
        <x:f t="shared" ref="P209:P214" si="100">O209+L209</x:f>
        <x:v>0.2889850844444445</x:v>
      </x:c>
      <x:c r="Q209" s="38">
        <x:v>1</x:v>
      </x:c>
      <x:c r="R209" s="38">
        <x:v>0</x:v>
      </x:c>
      <x:c r="S209" s="38">
        <x:v>0</x:v>
      </x:c>
      <x:c r="T209" s="38">
        <x:v>3</x:v>
      </x:c>
      <x:c r="U209" s="38">
        <x:v>1</x:v>
      </x:c>
      <x:c r="V209" s="38" t="n">
        <x:f t="shared" ref="V209:V214" si="101">IFERROR((Q209+R209+S209+T209+U209)/D209,0)</x:f>
        <x:v>0.011111111111111112</x:v>
      </x:c>
      <x:c r="W209" s="34">
        <x:v>3</x:v>
      </x:c>
      <x:c r="X209" s="36">
        <x:v>6000</x:v>
      </x:c>
      <x:c r="Y209" s="40">
        <x:v>11</x:v>
      </x:c>
      <x:c r="Z209" s="40">
        <x:v>25</x:v>
      </x:c>
      <x:c r="AA209" s="38" t="n">
        <x:f t="shared" ref="AA209:AA214" si="102">IFERROR((W209*X209)/Y209/Z209/D209,0)</x:f>
        <x:v>0.14545454545454545</x:v>
      </x:c>
      <x:c r="AB209" s="41">
        <x:v>0.95</x:v>
      </x:c>
      <x:c r="AC209" s="38" t="n">
        <x:f t="shared" ref="AC209:AC214" si="103">IFERROR((I209+P209+V209+AA209)/AB209,0)</x:f>
        <x:v>0.5723736904010869</x:v>
      </x:c>
    </x:row>
    <x:row r="210">
      <x:c r="A210" s="22" t="str">
        <x:v>EX20</x:v>
      </x:c>
      <x:c r="B210" s="22" t="s">
        <x:v>480</x:v>
      </x:c>
      <x:c r="C210" s="34">
        <x:v>12</x:v>
      </x:c>
      <x:c r="D210" s="34">
        <x:f t="shared" si="96"/>
        <x:v>300</x:v>
      </x:c>
      <x:c r="E210" s="22">
        <x:v>12</x:v>
      </x:c>
      <x:c r="F210" s="22">
        <x:v>22</x:v>
      </x:c>
      <x:c r="G210" s="22">
        <x:v>300</x:v>
      </x:c>
      <x:c r="H210" s="36">
        <x:v>6000000</x:v>
      </x:c>
      <x:c r="I210" s="38">
        <x:f t="shared" si="97"/>
        <x:v>0.25252525252525254</x:v>
      </x:c>
      <x:c r="J210" s="38">
        <x:v>0.62777055000000004</x:v>
      </x:c>
      <x:c r="K210" s="38">
        <x:v>260</x:v>
      </x:c>
      <x:c r="L210" s="38">
        <x:f t="shared" si="98"/>
        <x:v>0.54406781000000004</x:v>
      </x:c>
      <x:c r="M210" s="38">
        <x:v>3.7</x:v>
      </x:c>
      <x:c r="N210" s="38">
        <x:v>8</x:v>
      </x:c>
      <x:c r="O210" s="38">
        <x:f t="shared" si="99"/>
        <x:v>9.8666666666666666E-2</x:v>
      </x:c>
      <x:c r="P210" s="38">
        <x:f t="shared" si="100"/>
        <x:v>0.64273447666666672</x:v>
      </x:c>
      <x:c r="Q210" s="38">
        <x:v>1</x:v>
      </x:c>
      <x:c r="R210" s="38">
        <x:v>0</x:v>
      </x:c>
      <x:c r="S210" s="38">
        <x:v>0</x:v>
      </x:c>
      <x:c r="T210" s="38">
        <x:v>3</x:v>
      </x:c>
      <x:c r="U210" s="38">
        <x:v>1</x:v>
      </x:c>
      <x:c r="V210" s="38">
        <x:f t="shared" si="101"/>
        <x:v>1.6666666666666666E-2</x:v>
      </x:c>
      <x:c r="W210" s="34">
        <x:v>4</x:v>
      </x:c>
      <x:c r="X210" s="36">
        <x:v>6000</x:v>
      </x:c>
      <x:c r="Y210" s="40">
        <x:v>11</x:v>
      </x:c>
      <x:c r="Z210" s="40">
        <x:v>25</x:v>
      </x:c>
      <x:c r="AA210" s="38">
        <x:f t="shared" si="102"/>
        <x:v>0.29090909090909095</x:v>
      </x:c>
      <x:c r="AB210" s="41">
        <x:v>0.94499999999999995</x:v>
      </x:c>
      <x:c r="AC210" s="38">
        <x:f t="shared" si="103"/>
        <x:v>1.2728417849393407</x:v>
      </x:c>
    </x:row>
    <x:row r="211">
      <x:c r="A211" s="22" t="str">
        <x:v>EX30</x:v>
      </x:c>
      <x:c r="B211" s="22" t="s">
        <x:v>481</x:v>
      </x:c>
      <x:c r="C211" s="34">
        <x:v>18</x:v>
      </x:c>
      <x:c r="D211" s="34">
        <x:f t="shared" si="96"/>
        <x:v>200</x:v>
      </x:c>
      <x:c r="E211" s="22">
        <x:v>12</x:v>
      </x:c>
      <x:c r="F211" s="22">
        <x:v>22</x:v>
      </x:c>
      <x:c r="G211" s="22">
        <x:v>300</x:v>
      </x:c>
      <x:c r="H211" s="36">
        <x:v>10000000</x:v>
      </x:c>
      <x:c r="I211" s="38">
        <x:f t="shared" si="97"/>
        <x:v>0.63131313131313138</x:v>
      </x:c>
      <x:c r="J211" s="38">
        <x:v>0.62777055000000004</x:v>
      </x:c>
      <x:c r="K211" s="38">
        <x:v>420</x:v>
      </x:c>
      <x:c r="L211" s="38">
        <x:f t="shared" si="98"/>
        <x:v>1.318318155</x:v>
      </x:c>
      <x:c r="M211" s="38">
        <x:v>3.7</x:v>
      </x:c>
      <x:c r="N211" s="38">
        <x:v>8</x:v>
      </x:c>
      <x:c r="O211" s="38">
        <x:f t="shared" si="99"/>
        <x:v>0.14800000000000002</x:v>
      </x:c>
      <x:c r="P211" s="38">
        <x:f t="shared" si="100"/>
        <x:v>1.4663181550000002</x:v>
      </x:c>
      <x:c r="Q211" s="38">
        <x:v>1</x:v>
      </x:c>
      <x:c r="R211" s="38">
        <x:v>0</x:v>
      </x:c>
      <x:c r="S211" s="38">
        <x:v>0</x:v>
      </x:c>
      <x:c r="T211" s="38">
        <x:v>3</x:v>
      </x:c>
      <x:c r="U211" s="38">
        <x:v>1</x:v>
      </x:c>
      <x:c r="V211" s="38">
        <x:f t="shared" si="101"/>
        <x:v>2.5000000000000001E-2</x:v>
      </x:c>
      <x:c r="W211" s="34">
        <x:v>5</x:v>
      </x:c>
      <x:c r="X211" s="36">
        <x:v>6000</x:v>
      </x:c>
      <x:c r="Y211" s="40">
        <x:v>11</x:v>
      </x:c>
      <x:c r="Z211" s="40">
        <x:v>25</x:v>
      </x:c>
      <x:c r="AA211" s="38">
        <x:f t="shared" si="102"/>
        <x:v>0.54545454545454541</x:v>
      </x:c>
      <x:c r="AB211" s="41">
        <x:v>0.94</x:v>
      </x:c>
      <x:c r="AC211" s="38">
        <x:f t="shared" si="103"/>
        <x:v>2.8383891827315715</x:v>
      </x:c>
    </x:row>
    <x:row r="212">
      <x:c r="A212" s="22" t="str">
        <x:v>EX40</x:v>
      </x:c>
      <x:c r="B212" s="22" t="s">
        <x:v>482</x:v>
      </x:c>
      <x:c r="C212" s="34">
        <x:v>6</x:v>
      </x:c>
      <x:c r="D212" s="34">
        <x:f t="shared" si="96"/>
        <x:v>600</x:v>
      </x:c>
      <x:c r="E212" s="22">
        <x:v>12</x:v>
      </x:c>
      <x:c r="F212" s="22">
        <x:v>22</x:v>
      </x:c>
      <x:c r="G212" s="22">
        <x:v>300</x:v>
      </x:c>
      <x:c r="H212" s="36">
        <x:v>1500000</x:v>
      </x:c>
      <x:c r="I212" s="38">
        <x:f t="shared" si="97"/>
        <x:v>3.1565656565656568E-2</x:v>
      </x:c>
      <x:c r="J212" s="38">
        <x:v>0.62777055000000004</x:v>
      </x:c>
      <x:c r="K212" s="38">
        <x:v>80</x:v>
      </x:c>
      <x:c r="L212" s="38">
        <x:f t="shared" si="98"/>
        <x:v>8.3702740000000012E-2</x:v>
      </x:c>
      <x:c r="M212" s="38">
        <x:v>3.7</x:v>
      </x:c>
      <x:c r="N212" s="38">
        <x:v>8</x:v>
      </x:c>
      <x:c r="O212" s="38">
        <x:f t="shared" si="99"/>
        <x:v>4.9333333333333333E-2</x:v>
      </x:c>
      <x:c r="P212" s="38">
        <x:f t="shared" si="100"/>
        <x:v>0.13303607333333334</x:v>
      </x:c>
      <x:c r="Q212" s="38">
        <x:v>1</x:v>
      </x:c>
      <x:c r="R212" s="38">
        <x:v>0</x:v>
      </x:c>
      <x:c r="S212" s="38">
        <x:v>0</x:v>
      </x:c>
      <x:c r="T212" s="38">
        <x:v>3</x:v>
      </x:c>
      <x:c r="U212" s="38">
        <x:v>1</x:v>
      </x:c>
      <x:c r="V212" s="38">
        <x:f t="shared" si="101"/>
        <x:v>8.3333333333333332E-3</x:v>
      </x:c>
      <x:c r="W212" s="34">
        <x:v>1</x:v>
      </x:c>
      <x:c r="X212" s="36">
        <x:v>6000</x:v>
      </x:c>
      <x:c r="Y212" s="40">
        <x:v>11</x:v>
      </x:c>
      <x:c r="Z212" s="40">
        <x:v>25</x:v>
      </x:c>
      <x:c r="AA212" s="38">
        <x:f t="shared" si="102"/>
        <x:v>3.6363636363636369E-2</x:v>
      </x:c>
      <x:c r="AB212" s="41">
        <x:v>0.98</x:v>
      </x:c>
      <x:c r="AC212" s="38">
        <x:f t="shared" si="103"/>
        <x:v>0.21357010162853024</x:v>
      </x:c>
    </x:row>
    <x:row r="213">
      <x:c r="A213" s="22" t="str">
        <x:v>EX50</x:v>
      </x:c>
      <x:c r="B213" s="22" t="s">
        <x:v>483</x:v>
      </x:c>
      <x:c r="C213" s="34">
        <x:v>10</x:v>
      </x:c>
      <x:c r="D213" s="34">
        <x:f t="shared" si="96"/>
        <x:v>360</x:v>
      </x:c>
      <x:c r="E213" s="22">
        <x:v>10</x:v>
      </x:c>
      <x:c r="F213" s="22">
        <x:v>22</x:v>
      </x:c>
      <x:c r="G213" s="22">
        <x:v>300</x:v>
      </x:c>
      <x:c r="H213" s="36">
        <x:v>450000</x:v>
      </x:c>
      <x:c r="I213" s="38">
        <x:f t="shared" si="97"/>
        <x:v>1.893939393939394E-2</x:v>
      </x:c>
      <x:c r="J213" s="38">
        <x:v>0.62777055000000004</x:v>
      </x:c>
      <x:c r="K213" s="38">
        <x:v>12</x:v>
      </x:c>
      <x:c r="L213" s="38">
        <x:f t="shared" si="98"/>
        <x:v>2.0925684999999999E-2</x:v>
      </x:c>
      <x:c r="M213" s="38">
        <x:v>3.7</x:v>
      </x:c>
      <x:c r="N213" s="38">
        <x:v>8</x:v>
      </x:c>
      <x:c r="O213" s="38">
        <x:f t="shared" si="99"/>
        <x:v>8.2222222222222224E-2</x:v>
      </x:c>
      <x:c r="P213" s="38">
        <x:f t="shared" si="100"/>
        <x:v>0.10314790722222222</x:v>
      </x:c>
      <x:c r="Q213" s="38">
        <x:v>1</x:v>
      </x:c>
      <x:c r="R213" s="38">
        <x:v>0</x:v>
      </x:c>
      <x:c r="S213" s="38">
        <x:v>0</x:v>
      </x:c>
      <x:c r="T213" s="38">
        <x:v>3</x:v>
      </x:c>
      <x:c r="U213" s="38">
        <x:v>1</x:v>
      </x:c>
      <x:c r="V213" s="38">
        <x:f t="shared" si="101"/>
        <x:v>1.3888888888888888E-2</x:v>
      </x:c>
      <x:c r="W213" s="34">
        <x:v>1</x:v>
      </x:c>
      <x:c r="X213" s="36">
        <x:v>6000</x:v>
      </x:c>
      <x:c r="Y213" s="40">
        <x:v>11</x:v>
      </x:c>
      <x:c r="Z213" s="40">
        <x:v>25</x:v>
      </x:c>
      <x:c r="AA213" s="38">
        <x:f t="shared" si="102"/>
        <x:v>6.0606060606060615E-2</x:v>
      </x:c>
      <x:c r="AB213" s="41">
        <x:v>0.98499999999999999</x:v>
      </x:c>
      <x:c r="AC213" s="38">
        <x:f t="shared" si="103"/>
        <x:v>0.19957588899143722</x:v>
      </x:c>
    </x:row>
    <x:row r="214">
      <x:c r="A214" s="22" t="str">
        <x:v>EX60</x:v>
      </x:c>
      <x:c r="B214" s="22" t="s">
        <x:v>484</x:v>
      </x:c>
      <x:c r="C214" s="34">
        <x:v>8</x:v>
      </x:c>
      <x:c r="D214" s="34">
        <x:f t="shared" si="96"/>
        <x:v>450</x:v>
      </x:c>
      <x:c r="E214" s="22">
        <x:v>8</x:v>
      </x:c>
      <x:c r="F214" s="22">
        <x:v>22</x:v>
      </x:c>
      <x:c r="G214" s="22">
        <x:v>300</x:v>
      </x:c>
      <x:c r="H214" s="36">
        <x:v>350000</x:v>
      </x:c>
      <x:c r="I214" s="38">
        <x:f t="shared" si="97"/>
        <x:v>1.4730639730639731E-2</x:v>
      </x:c>
      <x:c r="J214" s="38">
        <x:v>0.62777055000000004</x:v>
      </x:c>
      <x:c r="K214" s="38">
        <x:v>8</x:v>
      </x:c>
      <x:c r="L214" s="38">
        <x:f t="shared" si="98"/>
        <x:v>1.1160365333333333E-2</x:v>
      </x:c>
      <x:c r="M214" s="38">
        <x:v>3.7</x:v>
      </x:c>
      <x:c r="N214" s="38">
        <x:v>8</x:v>
      </x:c>
      <x:c r="O214" s="38">
        <x:f t="shared" si="99"/>
        <x:v>6.5777777777777782E-2</x:v>
      </x:c>
      <x:c r="P214" s="38">
        <x:f t="shared" si="100"/>
        <x:v>7.6938143111111121E-2</x:v>
      </x:c>
      <x:c r="Q214" s="38">
        <x:v>1</x:v>
      </x:c>
      <x:c r="R214" s="38">
        <x:v>0</x:v>
      </x:c>
      <x:c r="S214" s="38">
        <x:v>0</x:v>
      </x:c>
      <x:c r="T214" s="38">
        <x:v>3</x:v>
      </x:c>
      <x:c r="U214" s="38">
        <x:v>1</x:v>
      </x:c>
      <x:c r="V214" s="38">
        <x:f t="shared" si="101"/>
        <x:v>1.1111111111111112E-2</x:v>
      </x:c>
      <x:c r="W214" s="34">
        <x:v>1</x:v>
      </x:c>
      <x:c r="X214" s="36">
        <x:v>6000</x:v>
      </x:c>
      <x:c r="Y214" s="40">
        <x:v>11</x:v>
      </x:c>
      <x:c r="Z214" s="40">
        <x:v>25</x:v>
      </x:c>
      <x:c r="AA214" s="38">
        <x:f t="shared" si="102"/>
        <x:v>4.8484848484848492E-2</x:v>
      </x:c>
      <x:c r="AB214" s="41">
        <x:v>0.98499999999999999</x:v>
      </x:c>
      <x:c r="AC214" s="38">
        <x:f t="shared" si="103"/>
        <x:v>0.1535682664342238</x:v>
      </x:c>
    </x:row>
    <x:row r="215">
      <x:c r="A215" s="22"/>
      <x:c r="B215" s="22"/>
      <x:c r="C215" s="34"/>
      <x:c r="D215" s="34"/>
      <x:c r="E215" s="22"/>
      <x:c r="F215" s="22"/>
      <x:c r="G215" s="22"/>
      <x:c r="H215" s="36"/>
      <x:c r="I215" s="38"/>
      <x:c r="J215" s="38"/>
      <x:c r="K215" s="38"/>
      <x:c r="L215" s="38"/>
      <x:c r="M215" s="38"/>
      <x:c r="N215" s="38"/>
      <x:c r="O215" s="38"/>
      <x:c r="P215" s="38"/>
      <x:c r="Q215" s="38"/>
      <x:c r="R215" s="38"/>
      <x:c r="S215" s="38"/>
      <x:c r="T215" s="38"/>
      <x:c r="U215" s="38"/>
      <x:c r="V215" s="38"/>
      <x:c r="W215" s="34"/>
      <x:c r="X215" s="36"/>
      <x:c r="Y215" s="40"/>
      <x:c r="Z215" s="40"/>
      <x:c r="AA215" s="38"/>
      <x:c r="AB215" s="41"/>
      <x:c r="AC215" s="38"/>
    </x:row>
    <x:row r="216">
      <x:c r="A216" s="22"/>
      <x:c r="B216" s="22"/>
      <x:c r="C216" s="34"/>
      <x:c r="D216" s="34"/>
      <x:c r="E216" s="22"/>
      <x:c r="F216" s="22"/>
      <x:c r="G216" s="22"/>
      <x:c r="H216" s="36"/>
      <x:c r="I216" s="38"/>
      <x:c r="J216" s="38"/>
      <x:c r="K216" s="38"/>
      <x:c r="L216" s="38"/>
      <x:c r="M216" s="38"/>
      <x:c r="N216" s="38"/>
      <x:c r="O216" s="38"/>
      <x:c r="P216" s="38"/>
      <x:c r="Q216" s="38"/>
      <x:c r="R216" s="38"/>
      <x:c r="S216" s="38"/>
      <x:c r="T216" s="38"/>
      <x:c r="U216" s="38"/>
      <x:c r="V216" s="38"/>
      <x:c r="W216" s="34"/>
      <x:c r="X216" s="36"/>
      <x:c r="Y216" s="40"/>
      <x:c r="Z216" s="40"/>
      <x:c r="AA216" s="38"/>
      <x:c r="AB216" s="41"/>
      <x:c r="AC216" s="38"/>
    </x:row>
    <x:row r="217">
      <x:c r="A217" s="22"/>
      <x:c r="B217" s="22"/>
      <x:c r="C217" s="34"/>
      <x:c r="D217" s="34"/>
      <x:c r="E217" s="22"/>
      <x:c r="F217" s="22"/>
      <x:c r="G217" s="22"/>
      <x:c r="H217" s="36"/>
      <x:c r="I217" s="38"/>
      <x:c r="J217" s="38"/>
      <x:c r="K217" s="38"/>
      <x:c r="L217" s="38"/>
      <x:c r="M217" s="38"/>
      <x:c r="N217" s="38"/>
      <x:c r="O217" s="38"/>
      <x:c r="P217" s="38"/>
      <x:c r="Q217" s="38"/>
      <x:c r="R217" s="38"/>
      <x:c r="S217" s="38"/>
      <x:c r="T217" s="38"/>
      <x:c r="U217" s="38"/>
      <x:c r="V217" s="38"/>
      <x:c r="W217" s="34"/>
      <x:c r="X217" s="36"/>
      <x:c r="Y217" s="40"/>
      <x:c r="Z217" s="40"/>
      <x:c r="AA217" s="38"/>
      <x:c r="AB217" s="41"/>
      <x:c r="AC217" s="38"/>
    </x:row>
    <x:row r="218">
      <x:c r="A218" s="22"/>
      <x:c r="B218" s="22"/>
      <x:c r="C218" s="34"/>
      <x:c r="D218" s="34"/>
      <x:c r="E218" s="22"/>
      <x:c r="F218" s="22"/>
      <x:c r="G218" s="22"/>
      <x:c r="H218" s="36"/>
      <x:c r="I218" s="38"/>
      <x:c r="J218" s="38"/>
      <x:c r="K218" s="38"/>
      <x:c r="L218" s="38"/>
      <x:c r="M218" s="38"/>
      <x:c r="N218" s="38"/>
      <x:c r="O218" s="38"/>
      <x:c r="P218" s="38"/>
      <x:c r="Q218" s="38"/>
      <x:c r="R218" s="38"/>
      <x:c r="S218" s="38"/>
      <x:c r="T218" s="38"/>
      <x:c r="U218" s="38"/>
      <x:c r="V218" s="38"/>
      <x:c r="W218" s="34"/>
      <x:c r="X218" s="36"/>
      <x:c r="Y218" s="40"/>
      <x:c r="Z218" s="40"/>
      <x:c r="AA218" s="38"/>
      <x:c r="AB218" s="41"/>
      <x:c r="AC218" s="38"/>
    </x:row>
    <x:row r="219">
      <x:c r="A219" s="22"/>
      <x:c r="B219" s="22"/>
      <x:c r="C219" s="34"/>
      <x:c r="D219" s="34"/>
      <x:c r="E219" s="22"/>
      <x:c r="F219" s="22"/>
      <x:c r="G219" s="22"/>
      <x:c r="H219" s="36"/>
      <x:c r="I219" s="38"/>
      <x:c r="J219" s="38"/>
      <x:c r="K219" s="38"/>
      <x:c r="L219" s="38"/>
      <x:c r="M219" s="38"/>
      <x:c r="N219" s="38"/>
      <x:c r="O219" s="38"/>
      <x:c r="P219" s="38"/>
      <x:c r="Q219" s="38"/>
      <x:c r="R219" s="38"/>
      <x:c r="S219" s="38"/>
      <x:c r="T219" s="38"/>
      <x:c r="U219" s="38"/>
      <x:c r="V219" s="38"/>
      <x:c r="W219" s="34"/>
      <x:c r="X219" s="36"/>
      <x:c r="Y219" s="40"/>
      <x:c r="Z219" s="40"/>
      <x:c r="AA219" s="38"/>
      <x:c r="AB219" s="41"/>
      <x:c r="AC219" s="38"/>
    </x:row>
    <x:row r="220">
      <x:c r="A220" s="43" t="str">
        <x:v>吸塑工序</x:v>
      </x:c>
      <x:c r="B220" s="43"/>
      <x:c r="C220" s="44"/>
      <x:c r="D220" s="44"/>
      <x:c r="E220" s="43"/>
      <x:c r="F220" s="43"/>
      <x:c r="G220" s="43"/>
      <x:c r="H220" s="45"/>
      <x:c r="I220" s="46"/>
      <x:c r="J220" s="46"/>
      <x:c r="K220" s="46"/>
      <x:c r="L220" s="46"/>
      <x:c r="M220" s="46"/>
      <x:c r="N220" s="46"/>
      <x:c r="O220" s="46"/>
      <x:c r="P220" s="46"/>
      <x:c r="Q220" s="46"/>
      <x:c r="R220" s="46"/>
      <x:c r="S220" s="46"/>
      <x:c r="T220" s="46"/>
      <x:c r="U220" s="46"/>
      <x:c r="V220" s="46"/>
      <x:c r="W220" s="44"/>
      <x:c r="X220" s="45"/>
      <x:c r="Y220" s="47"/>
      <x:c r="Z220" s="47"/>
      <x:c r="AA220" s="46"/>
      <x:c r="AB220" s="48"/>
      <x:c r="AC220" s="46"/>
    </x:row>
    <x:row r="221">
      <x:c r="A221" s="22" t="str">
        <x:v>TH10</x:v>
      </x:c>
      <x:c r="B221" s="22" t="s">
        <x:v>485</x:v>
      </x:c>
      <x:c r="C221" s="34">
        <x:v>6</x:v>
      </x:c>
      <x:c r="D221" s="34" t="n">
        <x:f>IFERROR(60*60/C221,0)</x:f>
        <x:v>600</x:v>
      </x:c>
      <x:c r="E221" s="22">
        <x:v>8</x:v>
      </x:c>
      <x:c r="F221" s="22">
        <x:v>22</x:v>
      </x:c>
      <x:c r="G221" s="22">
        <x:v>300</x:v>
      </x:c>
      <x:c r="H221" s="36">
        <x:v>650000</x:v>
      </x:c>
      <x:c r="I221" s="38" t="n">
        <x:f>IFERROR(H221/E221/F221/G221/D221,0)</x:f>
        <x:v>0.020517676767676768</x:v>
      </x:c>
      <x:c r="J221" s="38">
        <x:v>0.62777055000000004</x:v>
      </x:c>
      <x:c r="K221" s="38">
        <x:v>22</x:v>
      </x:c>
      <x:c r="L221" s="38" t="n">
        <x:f>IFERROR(J221*K221/D221,0)</x:f>
        <x:v>0.023018253500000002</x:v>
      </x:c>
      <x:c r="M221" s="38">
        <x:v>3.7</x:v>
      </x:c>
      <x:c r="N221" s="38">
        <x:v>0</x:v>
      </x:c>
      <x:c r="O221" s="38" t="n">
        <x:f>IFERROR(N221*M221/D221,0)</x:f>
        <x:v>0</x:v>
      </x:c>
      <x:c r="P221" s="38" t="n">
        <x:f>O221+L221</x:f>
        <x:v>0.023018253500000002</x:v>
      </x:c>
      <x:c r="Q221" s="38">
        <x:v>0</x:v>
      </x:c>
      <x:c r="R221" s="38">
        <x:v>0</x:v>
      </x:c>
      <x:c r="S221" s="38">
        <x:v>0.5</x:v>
      </x:c>
      <x:c r="T221" s="38">
        <x:v>1</x:v>
      </x:c>
      <x:c r="U221" s="38">
        <x:v>1</x:v>
      </x:c>
      <x:c r="V221" s="38" t="n">
        <x:f>IFERROR((Q221+R221+S221+T221+U221)/D221,0)</x:f>
        <x:v>0.004166666666666667</x:v>
      </x:c>
      <x:c r="W221" s="34">
        <x:v>1</x:v>
      </x:c>
      <x:c r="X221" s="36">
        <x:v>6000</x:v>
      </x:c>
      <x:c r="Y221" s="40">
        <x:v>11</x:v>
      </x:c>
      <x:c r="Z221" s="40">
        <x:v>25</x:v>
      </x:c>
      <x:c r="AA221" s="38" t="n">
        <x:f>IFERROR((W221*X221)/Y221/Z221/D221,0)</x:f>
        <x:v>0.03636363636363637</x:v>
      </x:c>
      <x:c r="AB221" s="41">
        <x:v>0.97</x:v>
      </x:c>
      <x:c r="AC221" s="38" t="n">
        <x:f>IFERROR((I221+P221+V221+AA221)/AB221,0)</x:f>
        <x:v>0.08666621989482454</x:v>
      </x:c>
    </x:row>
    <x:row r="222">
      <x:c r="A222" s="22" t="str">
        <x:v>TH20</x:v>
      </x:c>
      <x:c r="B222" s="22" t="s">
        <x:v>486</x:v>
      </x:c>
      <x:c r="C222" s="34">
        <x:v>7</x:v>
      </x:c>
      <x:c r="D222" s="34" t="n">
        <x:f>IFERROR(60*60/C222,0)</x:f>
        <x:v>514.2857142857143</x:v>
      </x:c>
      <x:c r="E222" s="22">
        <x:v>8</x:v>
      </x:c>
      <x:c r="F222" s="22">
        <x:v>22</x:v>
      </x:c>
      <x:c r="G222" s="22">
        <x:v>300</x:v>
      </x:c>
      <x:c r="H222" s="36">
        <x:v>700000</x:v>
      </x:c>
      <x:c r="I222" s="38" t="n">
        <x:f>IFERROR(H222/E222/F222/G222/D222,0)</x:f>
        <x:v>0.025778619528619526</x:v>
      </x:c>
      <x:c r="J222" s="38">
        <x:v>0.62777055000000004</x:v>
      </x:c>
      <x:c r="K222" s="38">
        <x:v>25</x:v>
      </x:c>
      <x:c r="L222" s="38" t="n">
        <x:f>IFERROR(J222*K222/D222,0)</x:f>
        <x:v>0.030516623958333332</x:v>
      </x:c>
      <x:c r="M222" s="38">
        <x:v>3.7</x:v>
      </x:c>
      <x:c r="N222" s="38">
        <x:v>0</x:v>
      </x:c>
      <x:c r="O222" s="38" t="n">
        <x:f>IFERROR(N222*M222/D222,0)</x:f>
        <x:v>0</x:v>
      </x:c>
      <x:c r="P222" s="38" t="n">
        <x:f>O222+L222</x:f>
        <x:v>0.030516623958333332</x:v>
      </x:c>
      <x:c r="Q222" s="38">
        <x:v>0</x:v>
      </x:c>
      <x:c r="R222" s="38">
        <x:v>0</x:v>
      </x:c>
      <x:c r="S222" s="38">
        <x:v>0.5</x:v>
      </x:c>
      <x:c r="T222" s="38">
        <x:v>1</x:v>
      </x:c>
      <x:c r="U222" s="38">
        <x:v>1</x:v>
      </x:c>
      <x:c r="V222" s="38" t="n">
        <x:f>IFERROR((Q222+R222+S222+T222+U222)/D222,0)</x:f>
        <x:v>0.00486111111111111</x:v>
      </x:c>
      <x:c r="W222" s="34">
        <x:v>1</x:v>
      </x:c>
      <x:c r="X222" s="36">
        <x:v>6000</x:v>
      </x:c>
      <x:c r="Y222" s="40">
        <x:v>11</x:v>
      </x:c>
      <x:c r="Z222" s="40">
        <x:v>25</x:v>
      </x:c>
      <x:c r="AA222" s="38" t="n">
        <x:f>IFERROR((W222*X222)/Y222/Z222/D222,0)</x:f>
        <x:v>0.04242424242424243</x:v>
      </x:c>
      <x:c r="AB222" s="41">
        <x:v>0.96499999999999997</x:v>
      </x:c>
      <x:c r="AC222" s="38" t="n">
        <x:f>IFERROR((I222+P222+V222+AA222)/AB222,0)</x:f>
        <x:v>0.10733740624073203</x:v>
      </x:c>
    </x:row>
    <x:row r="223">
      <x:c r="A223" s="22" t="str">
        <x:v>TH30</x:v>
      </x:c>
      <x:c r="B223" s="22" t="s">
        <x:v>487</x:v>
      </x:c>
      <x:c r="C223" s="34">
        <x:v>8</x:v>
      </x:c>
      <x:c r="D223" s="34" t="n">
        <x:f>IFERROR(60*60/C223,0)</x:f>
        <x:v>450</x:v>
      </x:c>
      <x:c r="E223" s="22">
        <x:v>8</x:v>
      </x:c>
      <x:c r="F223" s="22">
        <x:v>22</x:v>
      </x:c>
      <x:c r="G223" s="22">
        <x:v>300</x:v>
      </x:c>
      <x:c r="H223" s="36">
        <x:v>800000</x:v>
      </x:c>
      <x:c r="I223" s="38" t="n">
        <x:f>IFERROR(H223/E223/F223/G223/D223,0)</x:f>
        <x:v>0.03367003367003367</x:v>
      </x:c>
      <x:c r="J223" s="38">
        <x:v>0.62777055000000004</x:v>
      </x:c>
      <x:c r="K223" s="38">
        <x:v>28</x:v>
      </x:c>
      <x:c r="L223" s="38" t="n">
        <x:f>IFERROR(J223*K223/D223,0)</x:f>
        <x:v>0.03906127866666667</x:v>
      </x:c>
      <x:c r="M223" s="38">
        <x:v>3.7</x:v>
      </x:c>
      <x:c r="N223" s="38">
        <x:v>0</x:v>
      </x:c>
      <x:c r="O223" s="38" t="n">
        <x:f>IFERROR(N223*M223/D223,0)</x:f>
        <x:v>0</x:v>
      </x:c>
      <x:c r="P223" s="38" t="n">
        <x:f>O223+L223</x:f>
        <x:v>0.03906127866666667</x:v>
      </x:c>
      <x:c r="Q223" s="38">
        <x:v>0</x:v>
      </x:c>
      <x:c r="R223" s="38">
        <x:v>0</x:v>
      </x:c>
      <x:c r="S223" s="38">
        <x:v>0.5</x:v>
      </x:c>
      <x:c r="T223" s="38">
        <x:v>1</x:v>
      </x:c>
      <x:c r="U223" s="38">
        <x:v>1</x:v>
      </x:c>
      <x:c r="V223" s="38" t="n">
        <x:f>IFERROR((Q223+R223+S223+T223+U223)/D223,0)</x:f>
        <x:v>0.005555555555555556</x:v>
      </x:c>
      <x:c r="W223" s="34">
        <x:v>1</x:v>
      </x:c>
      <x:c r="X223" s="36">
        <x:v>6000</x:v>
      </x:c>
      <x:c r="Y223" s="40">
        <x:v>11</x:v>
      </x:c>
      <x:c r="Z223" s="40">
        <x:v>25</x:v>
      </x:c>
      <x:c r="AA223" s="38" t="n">
        <x:f>IFERROR((W223*X223)/Y223/Z223/D223,0)</x:f>
        <x:v>0.04848484848484849</x:v>
      </x:c>
      <x:c r="AB223" s="41">
        <x:v>0.96</x:v>
      </x:c>
      <x:c r="AC223" s="38" t="n">
        <x:f>IFERROR((I223+P223+V223+AA223)/AB223,0)</x:f>
        <x:v>0.1320538712261504</x:v>
      </x:c>
    </x:row>
    <x:row r="224">
      <x:c r="A224" s="22" t="str">
        <x:v>TH40</x:v>
      </x:c>
      <x:c r="B224" s="22" t="s">
        <x:v>488</x:v>
      </x:c>
      <x:c r="C224" s="34">
        <x:v>4</x:v>
      </x:c>
      <x:c r="D224" s="34" t="n">
        <x:f>IFERROR(60*60/C224,0)</x:f>
        <x:v>900</x:v>
      </x:c>
      <x:c r="E224" s="22">
        <x:v>8</x:v>
      </x:c>
      <x:c r="F224" s="22">
        <x:v>22</x:v>
      </x:c>
      <x:c r="G224" s="22">
        <x:v>300</x:v>
      </x:c>
      <x:c r="H224" s="36">
        <x:v>220000</x:v>
      </x:c>
      <x:c r="I224" s="38" t="n">
        <x:f>IFERROR(H224/E224/F224/G224/D224,0)</x:f>
        <x:v>0.00462962962962963</x:v>
      </x:c>
      <x:c r="J224" s="38">
        <x:v>0.62777055000000004</x:v>
      </x:c>
      <x:c r="K224" s="38">
        <x:v>5</x:v>
      </x:c>
      <x:c r="L224" s="38" t="n">
        <x:f>IFERROR(J224*K224/D224,0)</x:f>
        <x:v>0.003487614166666667</x:v>
      </x:c>
      <x:c r="M224" s="38">
        <x:v>3.7</x:v>
      </x:c>
      <x:c r="N224" s="38">
        <x:v>0</x:v>
      </x:c>
      <x:c r="O224" s="38" t="n">
        <x:f>IFERROR(N224*M224/D224,0)</x:f>
        <x:v>0</x:v>
      </x:c>
      <x:c r="P224" s="38" t="n">
        <x:f>O224+L224</x:f>
        <x:v>0.003487614166666667</x:v>
      </x:c>
      <x:c r="Q224" s="38">
        <x:v>0</x:v>
      </x:c>
      <x:c r="R224" s="38">
        <x:v>0</x:v>
      </x:c>
      <x:c r="S224" s="38">
        <x:v>0.5</x:v>
      </x:c>
      <x:c r="T224" s="38">
        <x:v>1</x:v>
      </x:c>
      <x:c r="U224" s="38">
        <x:v>1</x:v>
      </x:c>
      <x:c r="V224" s="38" t="n">
        <x:f>IFERROR((Q224+R224+S224+T224+U224)/D224,0)</x:f>
        <x:v>0.002777777777777778</x:v>
      </x:c>
      <x:c r="W224" s="34">
        <x:v>1</x:v>
      </x:c>
      <x:c r="X224" s="36">
        <x:v>6000</x:v>
      </x:c>
      <x:c r="Y224" s="40">
        <x:v>11</x:v>
      </x:c>
      <x:c r="Z224" s="40">
        <x:v>25</x:v>
      </x:c>
      <x:c r="AA224" s="38" t="n">
        <x:f>IFERROR((W224*X224)/Y224/Z224/D224,0)</x:f>
        <x:v>0.024242424242424246</x:v>
      </x:c>
      <x:c r="AB224" s="41">
        <x:v>0.98499999999999999</x:v>
      </x:c>
      <x:c r="AC224" s="38" t="n">
        <x:f>IFERROR((I224+P224+V224+AA224)/AB224,0)</x:f>
        <x:v>0.03567253382385616</x:v>
      </x:c>
    </x:row>
    <x:row r="225">
      <x:c r="A225" s="22"/>
      <x:c r="B225" s="22"/>
      <x:c r="C225" s="34"/>
      <x:c r="D225" s="34"/>
      <x:c r="E225" s="22"/>
      <x:c r="F225" s="22"/>
      <x:c r="G225" s="22"/>
      <x:c r="H225" s="36"/>
      <x:c r="I225" s="38"/>
      <x:c r="J225" s="38"/>
      <x:c r="K225" s="38"/>
      <x:c r="L225" s="38"/>
      <x:c r="M225" s="38"/>
      <x:c r="N225" s="38"/>
      <x:c r="O225" s="38"/>
      <x:c r="P225" s="38"/>
      <x:c r="Q225" s="38"/>
      <x:c r="R225" s="38"/>
      <x:c r="S225" s="38"/>
      <x:c r="T225" s="38"/>
      <x:c r="U225" s="38"/>
      <x:c r="V225" s="38"/>
      <x:c r="W225" s="34"/>
      <x:c r="X225" s="36"/>
      <x:c r="Y225" s="40"/>
      <x:c r="Z225" s="40"/>
      <x:c r="AA225" s="38"/>
      <x:c r="AB225" s="41"/>
      <x:c r="AC225" s="38"/>
    </x:row>
    <x:row r="226">
      <x:c r="A226" s="22"/>
      <x:c r="B226" s="22"/>
      <x:c r="C226" s="34"/>
      <x:c r="D226" s="34"/>
      <x:c r="E226" s="22"/>
      <x:c r="F226" s="22"/>
      <x:c r="G226" s="22"/>
      <x:c r="H226" s="36"/>
      <x:c r="I226" s="38"/>
      <x:c r="J226" s="38"/>
      <x:c r="K226" s="38"/>
      <x:c r="L226" s="38"/>
      <x:c r="M226" s="38"/>
      <x:c r="N226" s="38"/>
      <x:c r="O226" s="38"/>
      <x:c r="P226" s="38"/>
      <x:c r="Q226" s="38"/>
      <x:c r="R226" s="38"/>
      <x:c r="S226" s="38"/>
      <x:c r="T226" s="38"/>
      <x:c r="U226" s="38"/>
      <x:c r="V226" s="38"/>
      <x:c r="W226" s="34"/>
      <x:c r="X226" s="36"/>
      <x:c r="Y226" s="40"/>
      <x:c r="Z226" s="40"/>
      <x:c r="AA226" s="38"/>
      <x:c r="AB226" s="41"/>
      <x:c r="AC226" s="38"/>
    </x:row>
    <x:row r="227">
      <x:c r="A227" s="22"/>
      <x:c r="B227" s="22"/>
      <x:c r="C227" s="34"/>
      <x:c r="D227" s="34"/>
      <x:c r="E227" s="22"/>
      <x:c r="F227" s="22"/>
      <x:c r="G227" s="22"/>
      <x:c r="H227" s="36"/>
      <x:c r="I227" s="38"/>
      <x:c r="J227" s="38"/>
      <x:c r="K227" s="38"/>
      <x:c r="L227" s="38"/>
      <x:c r="M227" s="38"/>
      <x:c r="N227" s="38"/>
      <x:c r="O227" s="38"/>
      <x:c r="P227" s="38"/>
      <x:c r="Q227" s="38"/>
      <x:c r="R227" s="38"/>
      <x:c r="S227" s="38"/>
      <x:c r="T227" s="38"/>
      <x:c r="U227" s="38"/>
      <x:c r="V227" s="38"/>
      <x:c r="W227" s="34"/>
      <x:c r="X227" s="36"/>
      <x:c r="Y227" s="40"/>
      <x:c r="Z227" s="40"/>
      <x:c r="AA227" s="38"/>
      <x:c r="AB227" s="41"/>
      <x:c r="AC227" s="38"/>
    </x:row>
    <x:row r="228">
      <x:c r="A228" s="22"/>
      <x:c r="B228" s="22"/>
      <x:c r="C228" s="34"/>
      <x:c r="D228" s="34"/>
      <x:c r="E228" s="22"/>
      <x:c r="F228" s="22"/>
      <x:c r="G228" s="22"/>
      <x:c r="H228" s="36"/>
      <x:c r="I228" s="38"/>
      <x:c r="J228" s="38"/>
      <x:c r="K228" s="38"/>
      <x:c r="L228" s="38"/>
      <x:c r="M228" s="38"/>
      <x:c r="N228" s="38"/>
      <x:c r="O228" s="38"/>
      <x:c r="P228" s="38"/>
      <x:c r="Q228" s="38"/>
      <x:c r="R228" s="38"/>
      <x:c r="S228" s="38"/>
      <x:c r="T228" s="38"/>
      <x:c r="U228" s="38"/>
      <x:c r="V228" s="38"/>
      <x:c r="W228" s="34"/>
      <x:c r="X228" s="36"/>
      <x:c r="Y228" s="40"/>
      <x:c r="Z228" s="40"/>
      <x:c r="AA228" s="38"/>
      <x:c r="AB228" s="41"/>
      <x:c r="AC228" s="38"/>
    </x:row>
    <x:row r="229">
      <x:c r="A229" s="22"/>
      <x:c r="B229" s="22"/>
      <x:c r="C229" s="34"/>
      <x:c r="D229" s="34"/>
      <x:c r="E229" s="22"/>
      <x:c r="F229" s="22"/>
      <x:c r="G229" s="22"/>
      <x:c r="H229" s="36"/>
      <x:c r="I229" s="38"/>
      <x:c r="J229" s="38"/>
      <x:c r="K229" s="38"/>
      <x:c r="L229" s="38"/>
      <x:c r="M229" s="38"/>
      <x:c r="N229" s="38"/>
      <x:c r="O229" s="38"/>
      <x:c r="P229" s="38"/>
      <x:c r="Q229" s="38"/>
      <x:c r="R229" s="38"/>
      <x:c r="S229" s="38"/>
      <x:c r="T229" s="38"/>
      <x:c r="U229" s="38"/>
      <x:c r="V229" s="38"/>
      <x:c r="W229" s="34"/>
      <x:c r="X229" s="36"/>
      <x:c r="Y229" s="40"/>
      <x:c r="Z229" s="40"/>
      <x:c r="AA229" s="38"/>
      <x:c r="AB229" s="41"/>
      <x:c r="AC229" s="38"/>
    </x:row>
    <x:row r="230">
      <x:c r="A230" s="22"/>
      <x:c r="B230" s="22"/>
      <x:c r="C230" s="34"/>
      <x:c r="D230" s="34"/>
      <x:c r="E230" s="22"/>
      <x:c r="F230" s="22"/>
      <x:c r="G230" s="22"/>
      <x:c r="H230" s="36"/>
      <x:c r="I230" s="38"/>
      <x:c r="J230" s="38"/>
      <x:c r="K230" s="38"/>
      <x:c r="L230" s="38"/>
      <x:c r="M230" s="38"/>
      <x:c r="N230" s="38"/>
      <x:c r="O230" s="38"/>
      <x:c r="P230" s="38"/>
      <x:c r="Q230" s="38"/>
      <x:c r="R230" s="38"/>
      <x:c r="S230" s="38"/>
      <x:c r="T230" s="38"/>
      <x:c r="U230" s="38"/>
      <x:c r="V230" s="38"/>
      <x:c r="W230" s="34"/>
      <x:c r="X230" s="36"/>
      <x:c r="Y230" s="40"/>
      <x:c r="Z230" s="40"/>
      <x:c r="AA230" s="38"/>
      <x:c r="AB230" s="41"/>
      <x:c r="AC230" s="38"/>
    </x:row>
    <x:row r="231">
      <x:c r="A231" s="22"/>
      <x:c r="B231" s="22"/>
      <x:c r="C231" s="34"/>
      <x:c r="D231" s="34"/>
      <x:c r="E231" s="22"/>
      <x:c r="F231" s="22"/>
      <x:c r="G231" s="22"/>
      <x:c r="H231" s="36"/>
      <x:c r="I231" s="38"/>
      <x:c r="J231" s="38"/>
      <x:c r="K231" s="38"/>
      <x:c r="L231" s="38"/>
      <x:c r="M231" s="38"/>
      <x:c r="N231" s="38"/>
      <x:c r="O231" s="38"/>
      <x:c r="P231" s="38"/>
      <x:c r="Q231" s="38"/>
      <x:c r="R231" s="38"/>
      <x:c r="S231" s="38"/>
      <x:c r="T231" s="38"/>
      <x:c r="U231" s="38"/>
      <x:c r="V231" s="38"/>
      <x:c r="W231" s="34"/>
      <x:c r="X231" s="36"/>
      <x:c r="Y231" s="40"/>
      <x:c r="Z231" s="40"/>
      <x:c r="AA231" s="38"/>
      <x:c r="AB231" s="41"/>
      <x:c r="AC231" s="38"/>
    </x:row>
    <x:row r="232">
      <x:c r="A232" s="43" t="str">
        <x:v>铆接工序</x:v>
      </x:c>
      <x:c r="B232" s="43"/>
      <x:c r="C232" s="44"/>
      <x:c r="D232" s="44"/>
      <x:c r="E232" s="43"/>
      <x:c r="F232" s="43"/>
      <x:c r="G232" s="43"/>
      <x:c r="H232" s="45"/>
      <x:c r="I232" s="46"/>
      <x:c r="J232" s="46"/>
      <x:c r="K232" s="46"/>
      <x:c r="L232" s="46"/>
      <x:c r="M232" s="46"/>
      <x:c r="N232" s="46"/>
      <x:c r="O232" s="46"/>
      <x:c r="P232" s="46"/>
      <x:c r="Q232" s="46"/>
      <x:c r="R232" s="46"/>
      <x:c r="S232" s="46"/>
      <x:c r="T232" s="46"/>
      <x:c r="U232" s="46"/>
      <x:c r="V232" s="46"/>
      <x:c r="W232" s="44"/>
      <x:c r="X232" s="45"/>
      <x:c r="Y232" s="47"/>
      <x:c r="Z232" s="47"/>
      <x:c r="AA232" s="46"/>
      <x:c r="AB232" s="48"/>
      <x:c r="AC232" s="46"/>
    </x:row>
    <x:row r="233">
      <x:c r="A233" s="22" t="str">
        <x:v>RI10</x:v>
      </x:c>
      <x:c r="B233" s="22" t="s">
        <x:v>489</x:v>
      </x:c>
      <x:c r="C233" s="34">
        <x:v>5</x:v>
      </x:c>
      <x:c r="D233" s="34" t="n">
        <x:f>IFERROR(60*60/C233,0)</x:f>
        <x:v>720</x:v>
      </x:c>
      <x:c r="E233" s="22">
        <x:v>7</x:v>
      </x:c>
      <x:c r="F233" s="22">
        <x:v>22</x:v>
      </x:c>
      <x:c r="G233" s="22">
        <x:v>300</x:v>
      </x:c>
      <x:c r="H233" s="36">
        <x:v>35000</x:v>
      </x:c>
      <x:c r="I233" s="38" t="n">
        <x:f>IFERROR(H233/E233/F233/G233/D233,0)</x:f>
        <x:v>0.0010521885521885522</x:v>
      </x:c>
      <x:c r="J233" s="38">
        <x:v>0.62777055000000004</x:v>
      </x:c>
      <x:c r="K233" s="38">
        <x:v>0.8</x:v>
      </x:c>
      <x:c r="L233" s="38" t="n">
        <x:f>IFERROR(J233*K233/D233,0)</x:f>
        <x:v>0.0006975228333333334</x:v>
      </x:c>
      <x:c r="M233" s="38">
        <x:v>3.7</x:v>
      </x:c>
      <x:c r="N233" s="38">
        <x:v>0</x:v>
      </x:c>
      <x:c r="O233" s="38" t="n">
        <x:f>IFERROR(N233*M233/D233,0)</x:f>
        <x:v>0</x:v>
      </x:c>
      <x:c r="P233" s="38" t="n">
        <x:f>O233+L233</x:f>
        <x:v>0.0006975228333333334</x:v>
      </x:c>
      <x:c r="Q233" s="38">
        <x:v>0</x:v>
      </x:c>
      <x:c r="R233" s="38">
        <x:v>0</x:v>
      </x:c>
      <x:c r="S233" s="38">
        <x:v>0</x:v>
      </x:c>
      <x:c r="T233" s="38">
        <x:v>1</x:v>
      </x:c>
      <x:c r="U233" s="38">
        <x:v>1</x:v>
      </x:c>
      <x:c r="V233" s="38" t="n">
        <x:f>IFERROR((Q233+R233+S233+T233+U233)/D233,0)</x:f>
        <x:v>0.002777777777777778</x:v>
      </x:c>
      <x:c r="W233" s="34">
        <x:v>1</x:v>
      </x:c>
      <x:c r="X233" s="36">
        <x:v>6000</x:v>
      </x:c>
      <x:c r="Y233" s="40">
        <x:v>11</x:v>
      </x:c>
      <x:c r="Z233" s="40">
        <x:v>25</x:v>
      </x:c>
      <x:c r="AA233" s="38" t="n">
        <x:f>IFERROR((W233*X233)/Y233/Z233/D233,0)</x:f>
        <x:v>0.030303030303030307</x:v>
      </x:c>
      <x:c r="AB233" s="41">
        <x:v>0.99</x:v>
      </x:c>
      <x:c r="AC233" s="38" t="n">
        <x:f>IFERROR((I233+P233+V233+AA233)/AB233,0)</x:f>
        <x:v>0.0351823428952828</x:v>
      </x:c>
    </x:row>
    <x:row r="234">
      <x:c r="A234" s="22" t="str">
        <x:v>RI20</x:v>
      </x:c>
      <x:c r="B234" s="22" t="s">
        <x:v>490</x:v>
      </x:c>
      <x:c r="C234" s="34">
        <x:v>3</x:v>
      </x:c>
      <x:c r="D234" s="34" t="n">
        <x:f>IFERROR(60*60/C234,0)</x:f>
        <x:v>1200</x:v>
      </x:c>
      <x:c r="E234" s="22">
        <x:v>8</x:v>
      </x:c>
      <x:c r="F234" s="22">
        <x:v>22</x:v>
      </x:c>
      <x:c r="G234" s="22">
        <x:v>300</x:v>
      </x:c>
      <x:c r="H234" s="36">
        <x:v>380000</x:v>
      </x:c>
      <x:c r="I234" s="38" t="n">
        <x:f>IFERROR(H234/E234/F234/G234/D234,0)</x:f>
        <x:v>0.005997474747474747</x:v>
      </x:c>
      <x:c r="J234" s="38">
        <x:v>0.62777055000000004</x:v>
      </x:c>
      <x:c r="K234" s="38">
        <x:v>5</x:v>
      </x:c>
      <x:c r="L234" s="38" t="n">
        <x:f>IFERROR(J234*K234/D234,0)</x:f>
        <x:v>0.0026157106250000004</x:v>
      </x:c>
      <x:c r="M234" s="38">
        <x:v>3.7</x:v>
      </x:c>
      <x:c r="N234" s="38">
        <x:v>0</x:v>
      </x:c>
      <x:c r="O234" s="38" t="n">
        <x:f>IFERROR(N234*M234/D234,0)</x:f>
        <x:v>0</x:v>
      </x:c>
      <x:c r="P234" s="38" t="n">
        <x:f>O234+L234</x:f>
        <x:v>0.0026157106250000004</x:v>
      </x:c>
      <x:c r="Q234" s="38">
        <x:v>0</x:v>
      </x:c>
      <x:c r="R234" s="38">
        <x:v>0</x:v>
      </x:c>
      <x:c r="S234" s="38">
        <x:v>0</x:v>
      </x:c>
      <x:c r="T234" s="38">
        <x:v>1</x:v>
      </x:c>
      <x:c r="U234" s="38">
        <x:v>1</x:v>
      </x:c>
      <x:c r="V234" s="38" t="n">
        <x:f>IFERROR((Q234+R234+S234+T234+U234)/D234,0)</x:f>
        <x:v>0.0016666666666666668</x:v>
      </x:c>
      <x:c r="W234" s="34">
        <x:v>1</x:v>
      </x:c>
      <x:c r="X234" s="36">
        <x:v>6000</x:v>
      </x:c>
      <x:c r="Y234" s="40">
        <x:v>11</x:v>
      </x:c>
      <x:c r="Z234" s="40">
        <x:v>25</x:v>
      </x:c>
      <x:c r="AA234" s="38" t="n">
        <x:f>IFERROR((W234*X234)/Y234/Z234/D234,0)</x:f>
        <x:v>0.018181818181818184</x:v>
      </x:c>
      <x:c r="AB234" s="41">
        <x:v>0.98499999999999999</x:v>
      </x:c>
      <x:c r="AC234" s="38" t="n">
        <x:f>IFERROR((I234+P234+V234+AA234)/AB234,0)</x:f>
        <x:v>0.028895096671024974</x:v>
      </x:c>
    </x:row>
    <x:row r="235">
      <x:c r="A235" s="22" t="str">
        <x:v>RI30</x:v>
      </x:c>
      <x:c r="B235" s="22" t="s">
        <x:v>491</x:v>
      </x:c>
      <x:c r="C235" s="34">
        <x:v>6</x:v>
      </x:c>
      <x:c r="D235" s="34" t="n">
        <x:f>IFERROR(60*60/C235,0)</x:f>
        <x:v>600</x:v>
      </x:c>
      <x:c r="E235" s="22">
        <x:v>8</x:v>
      </x:c>
      <x:c r="F235" s="22">
        <x:v>22</x:v>
      </x:c>
      <x:c r="G235" s="22">
        <x:v>300</x:v>
      </x:c>
      <x:c r="H235" s="36">
        <x:v>180000</x:v>
      </x:c>
      <x:c r="I235" s="38" t="n">
        <x:f>IFERROR(H235/E235/F235/G235/D235,0)</x:f>
        <x:v>0.005681818181818182</x:v>
      </x:c>
      <x:c r="J235" s="38">
        <x:v>0.62777055000000004</x:v>
      </x:c>
      <x:c r="K235" s="38">
        <x:v>2</x:v>
      </x:c>
      <x:c r="L235" s="38" t="n">
        <x:f>IFERROR(J235*K235/D235,0)</x:f>
        <x:v>0.0020925685</x:v>
      </x:c>
      <x:c r="M235" s="38">
        <x:v>3.7</x:v>
      </x:c>
      <x:c r="N235" s="38">
        <x:v>0</x:v>
      </x:c>
      <x:c r="O235" s="38" t="n">
        <x:f>IFERROR(N235*M235/D235,0)</x:f>
        <x:v>0</x:v>
      </x:c>
      <x:c r="P235" s="38" t="n">
        <x:f>O235+L235</x:f>
        <x:v>0.0020925685</x:v>
      </x:c>
      <x:c r="Q235" s="38">
        <x:v>0</x:v>
      </x:c>
      <x:c r="R235" s="38">
        <x:v>0</x:v>
      </x:c>
      <x:c r="S235" s="38">
        <x:v>0</x:v>
      </x:c>
      <x:c r="T235" s="38">
        <x:v>1</x:v>
      </x:c>
      <x:c r="U235" s="38">
        <x:v>1</x:v>
      </x:c>
      <x:c r="V235" s="38" t="n">
        <x:f>IFERROR((Q235+R235+S235+T235+U235)/D235,0)</x:f>
        <x:v>0.0033333333333333335</x:v>
      </x:c>
      <x:c r="W235" s="34">
        <x:v>1</x:v>
      </x:c>
      <x:c r="X235" s="36">
        <x:v>6000</x:v>
      </x:c>
      <x:c r="Y235" s="40">
        <x:v>11</x:v>
      </x:c>
      <x:c r="Z235" s="40">
        <x:v>25</x:v>
      </x:c>
      <x:c r="AA235" s="38" t="n">
        <x:f>IFERROR((W235*X235)/Y235/Z235/D235,0)</x:f>
        <x:v>0.03636363636363637</x:v>
      </x:c>
      <x:c r="AB235" s="41">
        <x:v>0.99</x:v>
      </x:c>
      <x:c r="AC235" s="38" t="n">
        <x:f>IFERROR((I235+P235+V235+AA235)/AB235,0)</x:f>
        <x:v>0.04795086502907867</x:v>
      </x:c>
    </x:row>
    <x:row r="236">
      <x:c r="A236" s="22" t="str">
        <x:v>RI40</x:v>
      </x:c>
      <x:c r="B236" s="22" t="s">
        <x:v>492</x:v>
      </x:c>
      <x:c r="C236" s="34">
        <x:v>8</x:v>
      </x:c>
      <x:c r="D236" s="34" t="n">
        <x:f>IFERROR(60*60/C236,0)</x:f>
        <x:v>450</x:v>
      </x:c>
      <x:c r="E236" s="22">
        <x:v>8</x:v>
      </x:c>
      <x:c r="F236" s="22">
        <x:v>22</x:v>
      </x:c>
      <x:c r="G236" s="22">
        <x:v>300</x:v>
      </x:c>
      <x:c r="H236" s="36">
        <x:v>220000</x:v>
      </x:c>
      <x:c r="I236" s="38" t="n">
        <x:f>IFERROR(H236/E236/F236/G236/D236,0)</x:f>
        <x:v>0.00925925925925926</x:v>
      </x:c>
      <x:c r="J236" s="38">
        <x:v>0.62777055000000004</x:v>
      </x:c>
      <x:c r="K236" s="38">
        <x:v>3</x:v>
      </x:c>
      <x:c r="L236" s="38" t="n">
        <x:f>IFERROR(J236*K236/D236,0)</x:f>
        <x:v>0.004185137</x:v>
      </x:c>
      <x:c r="M236" s="38">
        <x:v>3.7</x:v>
      </x:c>
      <x:c r="N236" s="38">
        <x:v>0</x:v>
      </x:c>
      <x:c r="O236" s="38" t="n">
        <x:f>IFERROR(N236*M236/D236,0)</x:f>
        <x:v>0</x:v>
      </x:c>
      <x:c r="P236" s="38" t="n">
        <x:f>O236+L236</x:f>
        <x:v>0.004185137</x:v>
      </x:c>
      <x:c r="Q236" s="38">
        <x:v>0</x:v>
      </x:c>
      <x:c r="R236" s="38">
        <x:v>0</x:v>
      </x:c>
      <x:c r="S236" s="38">
        <x:v>0</x:v>
      </x:c>
      <x:c r="T236" s="38">
        <x:v>1</x:v>
      </x:c>
      <x:c r="U236" s="38">
        <x:v>1</x:v>
      </x:c>
      <x:c r="V236" s="38" t="n">
        <x:f>IFERROR((Q236+R236+S236+T236+U236)/D236,0)</x:f>
        <x:v>0.0044444444444444444</x:v>
      </x:c>
      <x:c r="W236" s="34">
        <x:v>1</x:v>
      </x:c>
      <x:c r="X236" s="36">
        <x:v>6000</x:v>
      </x:c>
      <x:c r="Y236" s="40">
        <x:v>11</x:v>
      </x:c>
      <x:c r="Z236" s="40">
        <x:v>25</x:v>
      </x:c>
      <x:c r="AA236" s="38" t="n">
        <x:f>IFERROR((W236*X236)/Y236/Z236/D236,0)</x:f>
        <x:v>0.04848484848484849</x:v>
      </x:c>
      <x:c r="AB236" s="41">
        <x:v>0.99</x:v>
      </x:c>
      <x:c r="AC236" s="38" t="n">
        <x:f>IFERROR((I236+P236+V236+AA236)/AB236,0)</x:f>
        <x:v>0.06704413049348708</x:v>
      </x:c>
    </x:row>
    <x:row r="237">
      <x:c r="A237" s="22"/>
      <x:c r="B237" s="22"/>
      <x:c r="C237" s="34"/>
      <x:c r="D237" s="34"/>
      <x:c r="E237" s="22"/>
      <x:c r="F237" s="22"/>
      <x:c r="G237" s="22"/>
      <x:c r="H237" s="36"/>
      <x:c r="I237" s="38"/>
      <x:c r="J237" s="38"/>
      <x:c r="K237" s="38"/>
      <x:c r="L237" s="38"/>
      <x:c r="M237" s="38"/>
      <x:c r="N237" s="38"/>
      <x:c r="O237" s="38"/>
      <x:c r="P237" s="38"/>
      <x:c r="Q237" s="38"/>
      <x:c r="R237" s="38"/>
      <x:c r="S237" s="38"/>
      <x:c r="T237" s="38"/>
      <x:c r="U237" s="38"/>
      <x:c r="V237" s="38"/>
      <x:c r="W237" s="34"/>
      <x:c r="X237" s="36"/>
      <x:c r="Y237" s="40"/>
      <x:c r="Z237" s="40"/>
      <x:c r="AA237" s="38"/>
      <x:c r="AB237" s="41"/>
      <x:c r="AC237" s="38"/>
    </x:row>
    <x:row r="238">
      <x:c r="A238" s="22"/>
      <x:c r="B238" s="22"/>
      <x:c r="C238" s="34"/>
      <x:c r="D238" s="34"/>
      <x:c r="E238" s="22"/>
      <x:c r="F238" s="22"/>
      <x:c r="G238" s="22"/>
      <x:c r="H238" s="36"/>
      <x:c r="I238" s="38"/>
      <x:c r="J238" s="38"/>
      <x:c r="K238" s="38"/>
      <x:c r="L238" s="38"/>
      <x:c r="M238" s="38"/>
      <x:c r="N238" s="38"/>
      <x:c r="O238" s="38"/>
      <x:c r="P238" s="38"/>
      <x:c r="Q238" s="38"/>
      <x:c r="R238" s="38"/>
      <x:c r="S238" s="38"/>
      <x:c r="T238" s="38"/>
      <x:c r="U238" s="38"/>
      <x:c r="V238" s="38"/>
      <x:c r="W238" s="34"/>
      <x:c r="X238" s="36"/>
      <x:c r="Y238" s="40"/>
      <x:c r="Z238" s="40"/>
      <x:c r="AA238" s="38"/>
      <x:c r="AB238" s="41"/>
      <x:c r="AC238" s="38"/>
    </x:row>
    <x:row r="239">
      <x:c r="A239" s="22"/>
      <x:c r="B239" s="22"/>
      <x:c r="C239" s="34"/>
      <x:c r="D239" s="34"/>
      <x:c r="E239" s="22"/>
      <x:c r="F239" s="22"/>
      <x:c r="G239" s="22"/>
      <x:c r="H239" s="36"/>
      <x:c r="I239" s="38"/>
      <x:c r="J239" s="38"/>
      <x:c r="K239" s="38"/>
      <x:c r="L239" s="38"/>
      <x:c r="M239" s="38"/>
      <x:c r="N239" s="38"/>
      <x:c r="O239" s="38"/>
      <x:c r="P239" s="38"/>
      <x:c r="Q239" s="38"/>
      <x:c r="R239" s="38"/>
      <x:c r="S239" s="38"/>
      <x:c r="T239" s="38"/>
      <x:c r="U239" s="38"/>
      <x:c r="V239" s="38"/>
      <x:c r="W239" s="34"/>
      <x:c r="X239" s="36"/>
      <x:c r="Y239" s="40"/>
      <x:c r="Z239" s="40"/>
      <x:c r="AA239" s="38"/>
      <x:c r="AB239" s="41"/>
      <x:c r="AC239" s="38"/>
    </x:row>
    <x:row r="240">
      <x:c r="A240" s="22"/>
      <x:c r="B240" s="22"/>
      <x:c r="C240" s="34"/>
      <x:c r="D240" s="34"/>
      <x:c r="E240" s="22"/>
      <x:c r="F240" s="22"/>
      <x:c r="G240" s="22"/>
      <x:c r="H240" s="36"/>
      <x:c r="I240" s="38"/>
      <x:c r="J240" s="38"/>
      <x:c r="K240" s="38"/>
      <x:c r="L240" s="38"/>
      <x:c r="M240" s="38"/>
      <x:c r="N240" s="38"/>
      <x:c r="O240" s="38"/>
      <x:c r="P240" s="38"/>
      <x:c r="Q240" s="38"/>
      <x:c r="R240" s="38"/>
      <x:c r="S240" s="38"/>
      <x:c r="T240" s="38"/>
      <x:c r="U240" s="38"/>
      <x:c r="V240" s="38"/>
      <x:c r="W240" s="34"/>
      <x:c r="X240" s="36"/>
      <x:c r="Y240" s="40"/>
      <x:c r="Z240" s="40"/>
      <x:c r="AA240" s="38"/>
      <x:c r="AB240" s="41"/>
      <x:c r="AC240" s="38"/>
    </x:row>
    <x:row r="241">
      <x:c r="A241" s="22"/>
      <x:c r="B241" s="22"/>
      <x:c r="C241" s="34"/>
      <x:c r="D241" s="34"/>
      <x:c r="E241" s="22"/>
      <x:c r="F241" s="22"/>
      <x:c r="G241" s="22"/>
      <x:c r="H241" s="36"/>
      <x:c r="I241" s="38"/>
      <x:c r="J241" s="38"/>
      <x:c r="K241" s="38"/>
      <x:c r="L241" s="38"/>
      <x:c r="M241" s="38"/>
      <x:c r="N241" s="38"/>
      <x:c r="O241" s="38"/>
      <x:c r="P241" s="38"/>
      <x:c r="Q241" s="38"/>
      <x:c r="R241" s="38"/>
      <x:c r="S241" s="38"/>
      <x:c r="T241" s="38"/>
      <x:c r="U241" s="38"/>
      <x:c r="V241" s="38"/>
      <x:c r="W241" s="34"/>
      <x:c r="X241" s="36"/>
      <x:c r="Y241" s="40"/>
      <x:c r="Z241" s="40"/>
      <x:c r="AA241" s="38"/>
      <x:c r="AB241" s="41"/>
      <x:c r="AC241" s="38"/>
    </x:row>
    <x:row r="242">
      <x:c r="A242" s="22"/>
      <x:c r="B242" s="22"/>
      <x:c r="C242" s="34"/>
      <x:c r="D242" s="34"/>
      <x:c r="E242" s="22"/>
      <x:c r="F242" s="22"/>
      <x:c r="G242" s="22"/>
      <x:c r="H242" s="36"/>
      <x:c r="I242" s="38"/>
      <x:c r="J242" s="38"/>
      <x:c r="K242" s="38"/>
      <x:c r="L242" s="38"/>
      <x:c r="M242" s="38"/>
      <x:c r="N242" s="38"/>
      <x:c r="O242" s="38"/>
      <x:c r="P242" s="38"/>
      <x:c r="Q242" s="38"/>
      <x:c r="R242" s="38"/>
      <x:c r="S242" s="38"/>
      <x:c r="T242" s="38"/>
      <x:c r="U242" s="38"/>
      <x:c r="V242" s="38"/>
      <x:c r="W242" s="34"/>
      <x:c r="X242" s="36"/>
      <x:c r="Y242" s="40"/>
      <x:c r="Z242" s="40"/>
      <x:c r="AA242" s="38"/>
      <x:c r="AB242" s="41"/>
      <x:c r="AC242" s="38"/>
    </x:row>
    <x:row r="243">
      <x:c r="A243" s="22"/>
      <x:c r="B243" s="22"/>
      <x:c r="C243" s="34"/>
      <x:c r="D243" s="34"/>
      <x:c r="E243" s="22"/>
      <x:c r="F243" s="22"/>
      <x:c r="G243" s="22"/>
      <x:c r="H243" s="36"/>
      <x:c r="I243" s="38"/>
      <x:c r="J243" s="38"/>
      <x:c r="K243" s="38"/>
      <x:c r="L243" s="38"/>
      <x:c r="M243" s="38"/>
      <x:c r="N243" s="38"/>
      <x:c r="O243" s="38"/>
      <x:c r="P243" s="38"/>
      <x:c r="Q243" s="38"/>
      <x:c r="R243" s="38"/>
      <x:c r="S243" s="38"/>
      <x:c r="T243" s="38"/>
      <x:c r="U243" s="38"/>
      <x:c r="V243" s="38"/>
      <x:c r="W243" s="34"/>
      <x:c r="X243" s="36"/>
      <x:c r="Y243" s="40"/>
      <x:c r="Z243" s="40"/>
      <x:c r="AA243" s="38"/>
      <x:c r="AB243" s="41"/>
      <x:c r="AC243" s="38"/>
    </x:row>
    <x:row r="244">
      <x:c r="A244" s="22"/>
      <x:c r="B244" s="22"/>
      <x:c r="C244" s="34"/>
      <x:c r="D244" s="34"/>
      <x:c r="E244" s="22"/>
      <x:c r="F244" s="22"/>
      <x:c r="G244" s="22"/>
      <x:c r="H244" s="36"/>
      <x:c r="I244" s="38"/>
      <x:c r="J244" s="38"/>
      <x:c r="K244" s="38"/>
      <x:c r="L244" s="38"/>
      <x:c r="M244" s="38"/>
      <x:c r="N244" s="38"/>
      <x:c r="O244" s="38"/>
      <x:c r="P244" s="38"/>
      <x:c r="Q244" s="38"/>
      <x:c r="R244" s="38"/>
      <x:c r="S244" s="38"/>
      <x:c r="T244" s="38"/>
      <x:c r="U244" s="38"/>
      <x:c r="V244" s="38"/>
      <x:c r="W244" s="34"/>
      <x:c r="X244" s="36"/>
      <x:c r="Y244" s="40"/>
      <x:c r="Z244" s="40"/>
      <x:c r="AA244" s="38"/>
      <x:c r="AB244" s="41"/>
      <x:c r="AC244" s="38"/>
    </x:row>
    <x:row r="245">
      <x:c r="A245" s="22"/>
      <x:c r="B245" s="22"/>
      <x:c r="C245" s="34"/>
      <x:c r="D245" s="34"/>
      <x:c r="E245" s="22"/>
      <x:c r="F245" s="22"/>
      <x:c r="G245" s="22"/>
      <x:c r="H245" s="36"/>
      <x:c r="I245" s="38"/>
      <x:c r="J245" s="38"/>
      <x:c r="K245" s="38"/>
      <x:c r="L245" s="38"/>
      <x:c r="M245" s="38"/>
      <x:c r="N245" s="38"/>
      <x:c r="O245" s="38"/>
      <x:c r="P245" s="38"/>
      <x:c r="Q245" s="38"/>
      <x:c r="R245" s="38"/>
      <x:c r="S245" s="38"/>
      <x:c r="T245" s="38"/>
      <x:c r="U245" s="38"/>
      <x:c r="V245" s="38"/>
      <x:c r="W245" s="34"/>
      <x:c r="X245" s="36"/>
      <x:c r="Y245" s="40"/>
      <x:c r="Z245" s="40"/>
      <x:c r="AA245" s="38"/>
      <x:c r="AB245" s="41"/>
      <x:c r="AC245" s="38"/>
    </x:row>
    <x:row r="246">
      <x:c r="A246" s="22"/>
      <x:c r="B246" s="22"/>
      <x:c r="C246" s="34"/>
      <x:c r="D246" s="34"/>
      <x:c r="E246" s="22"/>
      <x:c r="F246" s="22"/>
      <x:c r="G246" s="22"/>
      <x:c r="H246" s="36"/>
      <x:c r="I246" s="38"/>
      <x:c r="J246" s="38"/>
      <x:c r="K246" s="38"/>
      <x:c r="L246" s="38"/>
      <x:c r="M246" s="38"/>
      <x:c r="N246" s="38"/>
      <x:c r="O246" s="38"/>
      <x:c r="P246" s="38"/>
      <x:c r="Q246" s="38"/>
      <x:c r="R246" s="38"/>
      <x:c r="S246" s="38"/>
      <x:c r="T246" s="38"/>
      <x:c r="U246" s="38"/>
      <x:c r="V246" s="38"/>
      <x:c r="W246" s="34"/>
      <x:c r="X246" s="36"/>
      <x:c r="Y246" s="40"/>
      <x:c r="Z246" s="40"/>
      <x:c r="AA246" s="38"/>
      <x:c r="AB246" s="41"/>
      <x:c r="AC246" s="38"/>
    </x:row>
    <x:row r="247">
      <x:c r="A247" s="43" t="str">
        <x:v>热铆工序</x:v>
      </x:c>
      <x:c r="B247" s="43"/>
      <x:c r="C247" s="44"/>
      <x:c r="D247" s="44"/>
      <x:c r="E247" s="43"/>
      <x:c r="F247" s="43"/>
      <x:c r="G247" s="43"/>
      <x:c r="H247" s="45"/>
      <x:c r="I247" s="46"/>
      <x:c r="J247" s="46"/>
      <x:c r="K247" s="46"/>
      <x:c r="L247" s="46"/>
      <x:c r="M247" s="46"/>
      <x:c r="N247" s="46"/>
      <x:c r="O247" s="46"/>
      <x:c r="P247" s="46"/>
      <x:c r="Q247" s="46"/>
      <x:c r="R247" s="46"/>
      <x:c r="S247" s="46"/>
      <x:c r="T247" s="46"/>
      <x:c r="U247" s="46"/>
      <x:c r="V247" s="46"/>
      <x:c r="W247" s="44"/>
      <x:c r="X247" s="45"/>
      <x:c r="Y247" s="47"/>
      <x:c r="Z247" s="47"/>
      <x:c r="AA247" s="46"/>
      <x:c r="AB247" s="48"/>
      <x:c r="AC247" s="46"/>
    </x:row>
    <x:row r="248">
      <x:c r="A248" s="22" t="str">
        <x:v>HS10</x:v>
      </x:c>
      <x:c r="B248" s="22" t="s">
        <x:v>493</x:v>
      </x:c>
      <x:c r="C248" s="34">
        <x:v>8</x:v>
      </x:c>
      <x:c r="D248" s="34" t="n">
        <x:f>IFERROR(60*60/C248,0)</x:f>
        <x:v>450</x:v>
      </x:c>
      <x:c r="E248" s="22">
        <x:v>8</x:v>
      </x:c>
      <x:c r="F248" s="22">
        <x:v>22</x:v>
      </x:c>
      <x:c r="G248" s="22">
        <x:v>300</x:v>
      </x:c>
      <x:c r="H248" s="36">
        <x:v>120000</x:v>
      </x:c>
      <x:c r="I248" s="38" t="n">
        <x:f>IFERROR(H248/E248/F248/G248/D248,0)</x:f>
        <x:v>0.005050505050505051</x:v>
      </x:c>
      <x:c r="J248" s="38">
        <x:v>0.62777055000000004</x:v>
      </x:c>
      <x:c r="K248" s="38">
        <x:v>3</x:v>
      </x:c>
      <x:c r="L248" s="38" t="n">
        <x:f>IFERROR(J248*K248/D248,0)</x:f>
        <x:v>0.004185137</x:v>
      </x:c>
      <x:c r="M248" s="38">
        <x:v>3.7</x:v>
      </x:c>
      <x:c r="N248" s="38">
        <x:v>0</x:v>
      </x:c>
      <x:c r="O248" s="38" t="n">
        <x:f>IFERROR(N248*M248/D248,0)</x:f>
        <x:v>0</x:v>
      </x:c>
      <x:c r="P248" s="38" t="n">
        <x:f>O248+L248</x:f>
        <x:v>0.004185137</x:v>
      </x:c>
      <x:c r="Q248" s="38">
        <x:v>0</x:v>
      </x:c>
      <x:c r="R248" s="38">
        <x:v>0</x:v>
      </x:c>
      <x:c r="S248" s="38">
        <x:v>0</x:v>
      </x:c>
      <x:c r="T248" s="38">
        <x:v>1</x:v>
      </x:c>
      <x:c r="U248" s="38">
        <x:v>1</x:v>
      </x:c>
      <x:c r="V248" s="38" t="n">
        <x:f>IFERROR((Q248+R248+S248+T248+U248)/D248,0)</x:f>
        <x:v>0.0044444444444444444</x:v>
      </x:c>
      <x:c r="W248" s="34">
        <x:v>1</x:v>
      </x:c>
      <x:c r="X248" s="36">
        <x:v>6000</x:v>
      </x:c>
      <x:c r="Y248" s="40">
        <x:v>11</x:v>
      </x:c>
      <x:c r="Z248" s="40">
        <x:v>25</x:v>
      </x:c>
      <x:c r="AA248" s="38" t="n">
        <x:f>IFERROR((W248*X248)/Y248/Z248/D248,0)</x:f>
        <x:v>0.04848484848484849</x:v>
      </x:c>
      <x:c r="AB248" s="41">
        <x:v>0.98499999999999999</x:v>
      </x:c>
      <x:c r="AC248" s="38" t="n">
        <x:f>IFERROR((I248+P248+V248+AA248)/AB248,0)</x:f>
        <x:v>0.06311160911654617</x:v>
      </x:c>
    </x:row>
    <x:row r="249">
      <x:c r="A249" s="22" t="str">
        <x:v>HS20</x:v>
      </x:c>
      <x:c r="B249" s="22" t="s">
        <x:v>494</x:v>
      </x:c>
      <x:c r="C249" s="34">
        <x:v>10</x:v>
      </x:c>
      <x:c r="D249" s="34" t="n">
        <x:f>IFERROR(60*60/C249,0)</x:f>
        <x:v>360</x:v>
      </x:c>
      <x:c r="E249" s="22">
        <x:v>8</x:v>
      </x:c>
      <x:c r="F249" s="22">
        <x:v>22</x:v>
      </x:c>
      <x:c r="G249" s="22">
        <x:v>300</x:v>
      </x:c>
      <x:c r="H249" s="36">
        <x:v>150000</x:v>
      </x:c>
      <x:c r="I249" s="38" t="n">
        <x:f>IFERROR(H249/E249/F249/G249/D249,0)</x:f>
        <x:v>0.007891414141414142</x:v>
      </x:c>
      <x:c r="J249" s="38">
        <x:v>0.62777055000000004</x:v>
      </x:c>
      <x:c r="K249" s="38">
        <x:v>5</x:v>
      </x:c>
      <x:c r="L249" s="38" t="n">
        <x:f>IFERROR(J249*K249/D249,0)</x:f>
        <x:v>0.008719035416666668</x:v>
      </x:c>
      <x:c r="M249" s="38">
        <x:v>3.7</x:v>
      </x:c>
      <x:c r="N249" s="38">
        <x:v>0</x:v>
      </x:c>
      <x:c r="O249" s="38" t="n">
        <x:f>IFERROR(N249*M249/D249,0)</x:f>
        <x:v>0</x:v>
      </x:c>
      <x:c r="P249" s="38" t="n">
        <x:f>O249+L249</x:f>
        <x:v>0.008719035416666668</x:v>
      </x:c>
      <x:c r="Q249" s="38">
        <x:v>0</x:v>
      </x:c>
      <x:c r="R249" s="38">
        <x:v>0</x:v>
      </x:c>
      <x:c r="S249" s="38">
        <x:v>0</x:v>
      </x:c>
      <x:c r="T249" s="38">
        <x:v>1</x:v>
      </x:c>
      <x:c r="U249" s="38">
        <x:v>1</x:v>
      </x:c>
      <x:c r="V249" s="38" t="n">
        <x:f>IFERROR((Q249+R249+S249+T249+U249)/D249,0)</x:f>
        <x:v>0.005555555555555556</x:v>
      </x:c>
      <x:c r="W249" s="34">
        <x:v>1</x:v>
      </x:c>
      <x:c r="X249" s="36">
        <x:v>6000</x:v>
      </x:c>
      <x:c r="Y249" s="40">
        <x:v>11</x:v>
      </x:c>
      <x:c r="Z249" s="40">
        <x:v>25</x:v>
      </x:c>
      <x:c r="AA249" s="38" t="n">
        <x:f>IFERROR((W249*X249)/Y249/Z249/D249,0)</x:f>
        <x:v>0.060606060606060615</x:v>
      </x:c>
      <x:c r="AB249" s="41">
        <x:v>0.98499999999999999</x:v>
      </x:c>
      <x:c r="AC249" s="38" t="n">
        <x:f>IFERROR((I249+P249+V249+AA249)/AB249,0)</x:f>
        <x:v>0.08403255403014921</x:v>
      </x:c>
    </x:row>
    <x:row r="250">
      <x:c r="A250" s="22" t="str">
        <x:v>HS30</x:v>
      </x:c>
      <x:c r="B250" s="22" t="s">
        <x:v>495</x:v>
      </x:c>
      <x:c r="C250" s="34">
        <x:v>5</x:v>
      </x:c>
      <x:c r="D250" s="34" t="n">
        <x:f>IFERROR(60*60/C250,0)</x:f>
        <x:v>720</x:v>
      </x:c>
      <x:c r="E250" s="22">
        <x:v>8</x:v>
      </x:c>
      <x:c r="F250" s="22">
        <x:v>22</x:v>
      </x:c>
      <x:c r="G250" s="22">
        <x:v>300</x:v>
      </x:c>
      <x:c r="H250" s="36">
        <x:v>320000</x:v>
      </x:c>
      <x:c r="I250" s="38" t="n">
        <x:f>IFERROR(H250/E250/F250/G250/D250,0)</x:f>
        <x:v>0.008417508417508417</x:v>
      </x:c>
      <x:c r="J250" s="38">
        <x:v>0.62777055000000004</x:v>
      </x:c>
      <x:c r="K250" s="38">
        <x:v>4</x:v>
      </x:c>
      <x:c r="L250" s="38" t="n">
        <x:f>IFERROR(J250*K250/D250,0)</x:f>
        <x:v>0.003487614166666667</x:v>
      </x:c>
      <x:c r="M250" s="38">
        <x:v>3.7</x:v>
      </x:c>
      <x:c r="N250" s="38">
        <x:v>0</x:v>
      </x:c>
      <x:c r="O250" s="38" t="n">
        <x:f>IFERROR(N250*M250/D250,0)</x:f>
        <x:v>0</x:v>
      </x:c>
      <x:c r="P250" s="38" t="n">
        <x:f>O250+L250</x:f>
        <x:v>0.003487614166666667</x:v>
      </x:c>
      <x:c r="Q250" s="38">
        <x:v>0</x:v>
      </x:c>
      <x:c r="R250" s="38">
        <x:v>0</x:v>
      </x:c>
      <x:c r="S250" s="38">
        <x:v>0</x:v>
      </x:c>
      <x:c r="T250" s="38">
        <x:v>1</x:v>
      </x:c>
      <x:c r="U250" s="38">
        <x:v>1</x:v>
      </x:c>
      <x:c r="V250" s="38" t="n">
        <x:f>IFERROR((Q250+R250+S250+T250+U250)/D250,0)</x:f>
        <x:v>0.002777777777777778</x:v>
      </x:c>
      <x:c r="W250" s="34">
        <x:v>1</x:v>
      </x:c>
      <x:c r="X250" s="36">
        <x:v>6000</x:v>
      </x:c>
      <x:c r="Y250" s="40">
        <x:v>11</x:v>
      </x:c>
      <x:c r="Z250" s="40">
        <x:v>25</x:v>
      </x:c>
      <x:c r="AA250" s="38" t="n">
        <x:f>IFERROR((W250*X250)/Y250/Z250/D250,0)</x:f>
        <x:v>0.030303030303030307</x:v>
      </x:c>
      <x:c r="AB250" s="41">
        <x:v>0.98499999999999999</x:v>
      </x:c>
      <x:c r="AC250" s="38" t="n">
        <x:f>IFERROR((I250+P250+V250+AA250)/AB250,0)</x:f>
        <x:v>0.04567099559896769</x:v>
      </x:c>
    </x:row>
    <x:row r="251">
      <x:c r="A251" s="22"/>
      <x:c r="B251" s="22"/>
      <x:c r="C251" s="34"/>
      <x:c r="D251" s="34"/>
      <x:c r="E251" s="22"/>
      <x:c r="F251" s="22"/>
      <x:c r="G251" s="22"/>
      <x:c r="H251" s="36"/>
      <x:c r="I251" s="38"/>
      <x:c r="J251" s="38"/>
      <x:c r="K251" s="38"/>
      <x:c r="L251" s="38"/>
      <x:c r="M251" s="38"/>
      <x:c r="N251" s="38"/>
      <x:c r="O251" s="38"/>
      <x:c r="P251" s="38"/>
      <x:c r="Q251" s="38"/>
      <x:c r="R251" s="38"/>
      <x:c r="S251" s="38"/>
      <x:c r="T251" s="38"/>
      <x:c r="U251" s="38"/>
      <x:c r="V251" s="38"/>
      <x:c r="W251" s="34"/>
      <x:c r="X251" s="36"/>
      <x:c r="Y251" s="40"/>
      <x:c r="Z251" s="40"/>
      <x:c r="AA251" s="38"/>
      <x:c r="AB251" s="41"/>
      <x:c r="AC251" s="38"/>
    </x:row>
    <x:row r="252">
      <x:c r="A252" s="22"/>
      <x:c r="B252" s="22"/>
      <x:c r="C252" s="34"/>
      <x:c r="D252" s="34"/>
      <x:c r="E252" s="22"/>
      <x:c r="F252" s="22"/>
      <x:c r="G252" s="22"/>
      <x:c r="H252" s="36"/>
      <x:c r="I252" s="38"/>
      <x:c r="J252" s="38"/>
      <x:c r="K252" s="38"/>
      <x:c r="L252" s="38"/>
      <x:c r="M252" s="38"/>
      <x:c r="N252" s="38"/>
      <x:c r="O252" s="38"/>
      <x:c r="P252" s="38"/>
      <x:c r="Q252" s="38"/>
      <x:c r="R252" s="38"/>
      <x:c r="S252" s="38"/>
      <x:c r="T252" s="38"/>
      <x:c r="U252" s="38"/>
      <x:c r="V252" s="38"/>
      <x:c r="W252" s="34"/>
      <x:c r="X252" s="36"/>
      <x:c r="Y252" s="40"/>
      <x:c r="Z252" s="40"/>
      <x:c r="AA252" s="38"/>
      <x:c r="AB252" s="41"/>
      <x:c r="AC252" s="38"/>
    </x:row>
    <x:row r="253">
      <x:c r="A253" s="22"/>
      <x:c r="B253" s="22"/>
      <x:c r="C253" s="34"/>
      <x:c r="D253" s="34"/>
      <x:c r="E253" s="22"/>
      <x:c r="F253" s="22"/>
      <x:c r="G253" s="22"/>
      <x:c r="H253" s="36"/>
      <x:c r="I253" s="38"/>
      <x:c r="J253" s="38"/>
      <x:c r="K253" s="38"/>
      <x:c r="L253" s="38"/>
      <x:c r="M253" s="38"/>
      <x:c r="N253" s="38"/>
      <x:c r="O253" s="38"/>
      <x:c r="P253" s="38"/>
      <x:c r="Q253" s="38"/>
      <x:c r="R253" s="38"/>
      <x:c r="S253" s="38"/>
      <x:c r="T253" s="38"/>
      <x:c r="U253" s="38"/>
      <x:c r="V253" s="38"/>
      <x:c r="W253" s="34"/>
      <x:c r="X253" s="36"/>
      <x:c r="Y253" s="40"/>
      <x:c r="Z253" s="40"/>
      <x:c r="AA253" s="38"/>
      <x:c r="AB253" s="41"/>
      <x:c r="AC253" s="38"/>
    </x:row>
    <x:row r="254">
      <x:c r="A254" s="22"/>
      <x:c r="B254" s="22"/>
      <x:c r="C254" s="34"/>
      <x:c r="D254" s="34"/>
      <x:c r="E254" s="22"/>
      <x:c r="F254" s="22"/>
      <x:c r="G254" s="22"/>
      <x:c r="H254" s="36"/>
      <x:c r="I254" s="38"/>
      <x:c r="J254" s="38"/>
      <x:c r="K254" s="38"/>
      <x:c r="L254" s="38"/>
      <x:c r="M254" s="38"/>
      <x:c r="N254" s="38"/>
      <x:c r="O254" s="38"/>
      <x:c r="P254" s="38"/>
      <x:c r="Q254" s="38"/>
      <x:c r="R254" s="38"/>
      <x:c r="S254" s="38"/>
      <x:c r="T254" s="38"/>
      <x:c r="U254" s="38"/>
      <x:c r="V254" s="38"/>
      <x:c r="W254" s="34"/>
      <x:c r="X254" s="36"/>
      <x:c r="Y254" s="40"/>
      <x:c r="Z254" s="40"/>
      <x:c r="AA254" s="38"/>
      <x:c r="AB254" s="41"/>
      <x:c r="AC254" s="38"/>
    </x:row>
    <x:row r="255">
      <x:c r="A255" s="22"/>
      <x:c r="B255" s="22"/>
      <x:c r="C255" s="34"/>
      <x:c r="D255" s="34"/>
      <x:c r="E255" s="22"/>
      <x:c r="F255" s="22"/>
      <x:c r="G255" s="22"/>
      <x:c r="H255" s="36"/>
      <x:c r="I255" s="38"/>
      <x:c r="J255" s="38"/>
      <x:c r="K255" s="38"/>
      <x:c r="L255" s="38"/>
      <x:c r="M255" s="38"/>
      <x:c r="N255" s="38"/>
      <x:c r="O255" s="38"/>
      <x:c r="P255" s="38"/>
      <x:c r="Q255" s="38"/>
      <x:c r="R255" s="38"/>
      <x:c r="S255" s="38"/>
      <x:c r="T255" s="38"/>
      <x:c r="U255" s="38"/>
      <x:c r="V255" s="38"/>
      <x:c r="W255" s="34"/>
      <x:c r="X255" s="36"/>
      <x:c r="Y255" s="40"/>
      <x:c r="Z255" s="40"/>
      <x:c r="AA255" s="38"/>
      <x:c r="AB255" s="41"/>
      <x:c r="AC255" s="38"/>
    </x:row>
    <x:row r="256">
      <x:c r="A256" s="22"/>
      <x:c r="B256" s="22"/>
      <x:c r="C256" s="34"/>
      <x:c r="D256" s="34"/>
      <x:c r="E256" s="22"/>
      <x:c r="F256" s="22"/>
      <x:c r="G256" s="22"/>
      <x:c r="H256" s="36"/>
      <x:c r="I256" s="38"/>
      <x:c r="J256" s="38"/>
      <x:c r="K256" s="38"/>
      <x:c r="L256" s="38"/>
      <x:c r="M256" s="38"/>
      <x:c r="N256" s="38"/>
      <x:c r="O256" s="38"/>
      <x:c r="P256" s="38"/>
      <x:c r="Q256" s="38"/>
      <x:c r="R256" s="38"/>
      <x:c r="S256" s="38"/>
      <x:c r="T256" s="38"/>
      <x:c r="U256" s="38"/>
      <x:c r="V256" s="38"/>
      <x:c r="W256" s="34"/>
      <x:c r="X256" s="36"/>
      <x:c r="Y256" s="40"/>
      <x:c r="Z256" s="40"/>
      <x:c r="AA256" s="38"/>
      <x:c r="AB256" s="41"/>
      <x:c r="AC256" s="38"/>
    </x:row>
    <x:row r="257">
      <x:c r="A257" s="22"/>
      <x:c r="B257" s="22"/>
      <x:c r="C257" s="34"/>
      <x:c r="D257" s="34"/>
      <x:c r="E257" s="22"/>
      <x:c r="F257" s="22"/>
      <x:c r="G257" s="22"/>
      <x:c r="H257" s="36"/>
      <x:c r="I257" s="38"/>
      <x:c r="J257" s="38"/>
      <x:c r="K257" s="38"/>
      <x:c r="L257" s="38"/>
      <x:c r="M257" s="38"/>
      <x:c r="N257" s="38"/>
      <x:c r="O257" s="38"/>
      <x:c r="P257" s="38"/>
      <x:c r="Q257" s="38"/>
      <x:c r="R257" s="38"/>
      <x:c r="S257" s="38"/>
      <x:c r="T257" s="38"/>
      <x:c r="U257" s="38"/>
      <x:c r="V257" s="38"/>
      <x:c r="W257" s="34"/>
      <x:c r="X257" s="36"/>
      <x:c r="Y257" s="40"/>
      <x:c r="Z257" s="40"/>
      <x:c r="AA257" s="38"/>
      <x:c r="AB257" s="41"/>
      <x:c r="AC257" s="38"/>
    </x:row>
    <x:row r="258">
      <x:c r="A258" s="22"/>
      <x:c r="B258" s="22"/>
      <x:c r="C258" s="34"/>
      <x:c r="D258" s="34"/>
      <x:c r="E258" s="22"/>
      <x:c r="F258" s="22"/>
      <x:c r="G258" s="22"/>
      <x:c r="H258" s="36"/>
      <x:c r="I258" s="38"/>
      <x:c r="J258" s="38"/>
      <x:c r="K258" s="38"/>
      <x:c r="L258" s="38"/>
      <x:c r="M258" s="38"/>
      <x:c r="N258" s="38"/>
      <x:c r="O258" s="38"/>
      <x:c r="P258" s="38"/>
      <x:c r="Q258" s="38"/>
      <x:c r="R258" s="38"/>
      <x:c r="S258" s="38"/>
      <x:c r="T258" s="38"/>
      <x:c r="U258" s="38"/>
      <x:c r="V258" s="38"/>
      <x:c r="W258" s="34"/>
      <x:c r="X258" s="36"/>
      <x:c r="Y258" s="40"/>
      <x:c r="Z258" s="40"/>
      <x:c r="AA258" s="38"/>
      <x:c r="AB258" s="41"/>
      <x:c r="AC258" s="38"/>
    </x:row>
    <x:row r="259">
      <x:c r="A259" s="22"/>
      <x:c r="B259" s="22"/>
      <x:c r="C259" s="34"/>
      <x:c r="D259" s="34"/>
      <x:c r="E259" s="22"/>
      <x:c r="F259" s="22"/>
      <x:c r="G259" s="22"/>
      <x:c r="H259" s="36"/>
      <x:c r="I259" s="38"/>
      <x:c r="J259" s="38"/>
      <x:c r="K259" s="38"/>
      <x:c r="L259" s="38"/>
      <x:c r="M259" s="38"/>
      <x:c r="N259" s="38"/>
      <x:c r="O259" s="38"/>
      <x:c r="P259" s="38"/>
      <x:c r="Q259" s="38"/>
      <x:c r="R259" s="38"/>
      <x:c r="S259" s="38"/>
      <x:c r="T259" s="38"/>
      <x:c r="U259" s="38"/>
      <x:c r="V259" s="38"/>
      <x:c r="W259" s="34"/>
      <x:c r="X259" s="36"/>
      <x:c r="Y259" s="40"/>
      <x:c r="Z259" s="40"/>
      <x:c r="AA259" s="38"/>
      <x:c r="AB259" s="41"/>
      <x:c r="AC259" s="38"/>
    </x:row>
    <x:row r="260">
      <x:c r="A260" s="22"/>
      <x:c r="B260" s="22"/>
      <x:c r="C260" s="34"/>
      <x:c r="D260" s="34"/>
      <x:c r="E260" s="22"/>
      <x:c r="F260" s="22"/>
      <x:c r="G260" s="22"/>
      <x:c r="H260" s="36"/>
      <x:c r="I260" s="38"/>
      <x:c r="J260" s="38"/>
      <x:c r="K260" s="38"/>
      <x:c r="L260" s="38"/>
      <x:c r="M260" s="38"/>
      <x:c r="N260" s="38"/>
      <x:c r="O260" s="38"/>
      <x:c r="P260" s="38"/>
      <x:c r="Q260" s="38"/>
      <x:c r="R260" s="38"/>
      <x:c r="S260" s="38"/>
      <x:c r="T260" s="38"/>
      <x:c r="U260" s="38"/>
      <x:c r="V260" s="38"/>
      <x:c r="W260" s="34"/>
      <x:c r="X260" s="36"/>
      <x:c r="Y260" s="40"/>
      <x:c r="Z260" s="40"/>
      <x:c r="AA260" s="38"/>
      <x:c r="AB260" s="41"/>
      <x:c r="AC260" s="38"/>
    </x:row>
    <x:row r="261">
      <x:c r="A261" s="43" t="str">
        <x:v>后处理</x:v>
      </x:c>
      <x:c r="B261" s="43"/>
      <x:c r="C261" s="44"/>
      <x:c r="D261" s="44"/>
      <x:c r="E261" s="43"/>
      <x:c r="F261" s="43"/>
      <x:c r="G261" s="43"/>
      <x:c r="H261" s="45"/>
      <x:c r="I261" s="46"/>
      <x:c r="J261" s="46"/>
      <x:c r="K261" s="46"/>
      <x:c r="L261" s="46"/>
      <x:c r="M261" s="46"/>
      <x:c r="N261" s="46"/>
      <x:c r="O261" s="46"/>
      <x:c r="P261" s="46"/>
      <x:c r="Q261" s="46"/>
      <x:c r="R261" s="46"/>
      <x:c r="S261" s="46"/>
      <x:c r="T261" s="46"/>
      <x:c r="U261" s="46"/>
      <x:c r="V261" s="46"/>
      <x:c r="W261" s="44"/>
      <x:c r="X261" s="45"/>
      <x:c r="Y261" s="47"/>
      <x:c r="Z261" s="47"/>
      <x:c r="AA261" s="46"/>
      <x:c r="AB261" s="48"/>
      <x:c r="AC261" s="46"/>
    </x:row>
    <x:row r="262">
      <x:c r="A262" s="22" t="str">
        <x:v>PF10</x:v>
      </x:c>
      <x:c r="B262" s="22" t="s">
        <x:v>496</x:v>
      </x:c>
      <x:c r="C262" s="34">
        <x:v>15</x:v>
      </x:c>
      <x:c r="D262" s="34" t="n">
        <x:f t="shared" ref="D262:D267" si="104">IFERROR(60*60/C262,0)</x:f>
        <x:v>240</x:v>
      </x:c>
      <x:c r="E262" s="22">
        <x:v>8</x:v>
      </x:c>
      <x:c r="F262" s="22">
        <x:v>22</x:v>
      </x:c>
      <x:c r="G262" s="22">
        <x:v>300</x:v>
      </x:c>
      <x:c r="H262" s="36">
        <x:v>250000</x:v>
      </x:c>
      <x:c r="I262" s="38" t="n">
        <x:f t="shared" ref="I262:I267" si="105">IFERROR(H262/E262/F262/G262/D262,0)</x:f>
        <x:v>0.019728535353535356</x:v>
      </x:c>
      <x:c r="J262" s="38">
        <x:v>0.62777055000000004</x:v>
      </x:c>
      <x:c r="K262" s="38">
        <x:v>5</x:v>
      </x:c>
      <x:c r="L262" s="38" t="n">
        <x:f t="shared" ref="L262:L267" si="106">IFERROR(J262*K262/D262,0)</x:f>
        <x:v>0.013078553125000001</x:v>
      </x:c>
      <x:c r="M262" s="38">
        <x:v>3.7</x:v>
      </x:c>
      <x:c r="N262" s="38">
        <x:v>0</x:v>
      </x:c>
      <x:c r="O262" s="38" t="n">
        <x:f t="shared" ref="O262:O267" si="107">IFERROR(N262*M262/D262,0)</x:f>
        <x:v>0</x:v>
      </x:c>
      <x:c r="P262" s="38" t="n">
        <x:f t="shared" ref="P262:P267" si="108">O262+L262</x:f>
        <x:v>0.013078553125000001</x:v>
      </x:c>
      <x:c r="Q262" s="38">
        <x:v>0</x:v>
      </x:c>
      <x:c r="R262" s="38">
        <x:v>0</x:v>
      </x:c>
      <x:c r="S262" s="38">
        <x:v>1</x:v>
      </x:c>
      <x:c r="T262" s="38">
        <x:v>1</x:v>
      </x:c>
      <x:c r="U262" s="38">
        <x:v>1</x:v>
      </x:c>
      <x:c r="V262" s="38" t="n">
        <x:f t="shared" ref="V262:V267" si="109">IFERROR((Q262+R262+S262+T262+U262)/D262,0)</x:f>
        <x:v>0.0125</x:v>
      </x:c>
      <x:c r="W262" s="34">
        <x:v>1</x:v>
      </x:c>
      <x:c r="X262" s="36">
        <x:v>6000</x:v>
      </x:c>
      <x:c r="Y262" s="40">
        <x:v>11</x:v>
      </x:c>
      <x:c r="Z262" s="40">
        <x:v>25</x:v>
      </x:c>
      <x:c r="AA262" s="38" t="n">
        <x:f t="shared" ref="AA262:AA267" si="110">IFERROR((W262*X262)/Y262/Z262/D262,0)</x:f>
        <x:v>0.09090909090909091</x:v>
      </x:c>
      <x:c r="AB262" s="41">
        <x:v>0.98</x:v>
      </x:c>
      <x:c r="AC262" s="38" t="n">
        <x:f t="shared" ref="AC262:AC267" si="111">IFERROR((I262+P262+V262+AA262)/AB262,0)</x:f>
        <x:v>0.13899610141594515</x:v>
      </x:c>
    </x:row>
    <x:row r="263">
      <x:c r="A263" s="22" t="str">
        <x:v>PF20</x:v>
      </x:c>
      <x:c r="B263" s="22" t="s">
        <x:v>497</x:v>
      </x:c>
      <x:c r="C263" s="34">
        <x:v>20</x:v>
      </x:c>
      <x:c r="D263" s="34">
        <x:f t="shared" si="104"/>
        <x:v>180</x:v>
      </x:c>
      <x:c r="E263" s="22">
        <x:v>8</x:v>
      </x:c>
      <x:c r="F263" s="22">
        <x:v>22</x:v>
      </x:c>
      <x:c r="G263" s="22">
        <x:v>300</x:v>
      </x:c>
      <x:c r="H263" s="36">
        <x:v>180000</x:v>
      </x:c>
      <x:c r="I263" s="38">
        <x:f t="shared" si="105"/>
        <x:v>1.893939393939394E-2</x:v>
      </x:c>
      <x:c r="J263" s="38">
        <x:v>0.62777055000000004</x:v>
      </x:c>
      <x:c r="K263" s="38">
        <x:v>4</x:v>
      </x:c>
      <x:c r="L263" s="38">
        <x:f t="shared" si="106"/>
        <x:v>1.3950456666666668E-2</x:v>
      </x:c>
      <x:c r="M263" s="38">
        <x:v>3.7</x:v>
      </x:c>
      <x:c r="N263" s="38">
        <x:v>0</x:v>
      </x:c>
      <x:c r="O263" s="38">
        <x:f t="shared" si="107"/>
        <x:v>0</x:v>
      </x:c>
      <x:c r="P263" s="38">
        <x:f t="shared" si="108"/>
        <x:v>1.3950456666666668E-2</x:v>
      </x:c>
      <x:c r="Q263" s="38">
        <x:v>0</x:v>
      </x:c>
      <x:c r="R263" s="38">
        <x:v>0</x:v>
      </x:c>
      <x:c r="S263" s="38">
        <x:v>1</x:v>
      </x:c>
      <x:c r="T263" s="38">
        <x:v>1</x:v>
      </x:c>
      <x:c r="U263" s="38">
        <x:v>1</x:v>
      </x:c>
      <x:c r="V263" s="38">
        <x:f t="shared" si="109"/>
        <x:v>1.6666666666666666E-2</x:v>
      </x:c>
      <x:c r="W263" s="34">
        <x:v>1</x:v>
      </x:c>
      <x:c r="X263" s="36">
        <x:v>6000</x:v>
      </x:c>
      <x:c r="Y263" s="40">
        <x:v>11</x:v>
      </x:c>
      <x:c r="Z263" s="40">
        <x:v>25</x:v>
      </x:c>
      <x:c r="AA263" s="38">
        <x:f t="shared" si="110"/>
        <x:v>0.12121212121212123</x:v>
      </x:c>
      <x:c r="AB263" s="41">
        <x:v>0.98</x:v>
      </x:c>
      <x:c r="AC263" s="38">
        <x:f t="shared" si="111"/>
        <x:v>0.17425371273964135</x:v>
      </x:c>
    </x:row>
    <x:row r="264">
      <x:c r="A264" s="22" t="str">
        <x:v>PF30</x:v>
      </x:c>
      <x:c r="B264" s="22" t="s">
        <x:v>498</x:v>
      </x:c>
      <x:c r="C264" s="34">
        <x:v>12</x:v>
      </x:c>
      <x:c r="D264" s="34">
        <x:f t="shared" si="104"/>
        <x:v>300</x:v>
      </x:c>
      <x:c r="E264" s="22">
        <x:v>8</x:v>
      </x:c>
      <x:c r="F264" s="22">
        <x:v>22</x:v>
      </x:c>
      <x:c r="G264" s="22">
        <x:v>300</x:v>
      </x:c>
      <x:c r="H264" s="36">
        <x:v>350000</x:v>
      </x:c>
      <x:c r="I264" s="38">
        <x:f t="shared" si="105"/>
        <x:v>2.2095959595959596E-2</x:v>
      </x:c>
      <x:c r="J264" s="38">
        <x:v>0.62777055000000004</x:v>
      </x:c>
      <x:c r="K264" s="38">
        <x:v>8</x:v>
      </x:c>
      <x:c r="L264" s="38">
        <x:f t="shared" si="106"/>
        <x:v>1.6740548000000001E-2</x:v>
      </x:c>
      <x:c r="M264" s="38">
        <x:v>3.7</x:v>
      </x:c>
      <x:c r="N264" s="38">
        <x:v>0</x:v>
      </x:c>
      <x:c r="O264" s="38">
        <x:f t="shared" si="107"/>
        <x:v>0</x:v>
      </x:c>
      <x:c r="P264" s="38">
        <x:f t="shared" si="108"/>
        <x:v>1.6740548000000001E-2</x:v>
      </x:c>
      <x:c r="Q264" s="38">
        <x:v>0</x:v>
      </x:c>
      <x:c r="R264" s="38">
        <x:v>0</x:v>
      </x:c>
      <x:c r="S264" s="38">
        <x:v>1</x:v>
      </x:c>
      <x:c r="T264" s="38">
        <x:v>1</x:v>
      </x:c>
      <x:c r="U264" s="38">
        <x:v>1</x:v>
      </x:c>
      <x:c r="V264" s="38">
        <x:f t="shared" si="109"/>
        <x:v>0.01</x:v>
      </x:c>
      <x:c r="W264" s="34">
        <x:v>1</x:v>
      </x:c>
      <x:c r="X264" s="36">
        <x:v>6000</x:v>
      </x:c>
      <x:c r="Y264" s="40">
        <x:v>11</x:v>
      </x:c>
      <x:c r="Z264" s="40">
        <x:v>25</x:v>
      </x:c>
      <x:c r="AA264" s="38">
        <x:f t="shared" si="110"/>
        <x:v>7.2727272727272738E-2</x:v>
      </x:c>
      <x:c r="AB264" s="41">
        <x:v>0.98</x:v>
      </x:c>
      <x:c r="AC264" s="38">
        <x:f t="shared" si="111"/>
        <x:v>0.12404467379921667</x:v>
      </x:c>
    </x:row>
    <x:row r="265">
      <x:c r="A265" s="22" t="str">
        <x:v>PF40</x:v>
      </x:c>
      <x:c r="B265" s="22" t="s">
        <x:v>499</x:v>
      </x:c>
      <x:c r="C265" s="34">
        <x:v>10</x:v>
      </x:c>
      <x:c r="D265" s="34">
        <x:f t="shared" si="104"/>
        <x:v>360</x:v>
      </x:c>
      <x:c r="E265" s="22">
        <x:v>8</x:v>
      </x:c>
      <x:c r="F265" s="22">
        <x:v>22</x:v>
      </x:c>
      <x:c r="G265" s="22">
        <x:v>300</x:v>
      </x:c>
      <x:c r="H265" s="36">
        <x:v>650000</x:v>
      </x:c>
      <x:c r="I265" s="38">
        <x:f t="shared" si="105"/>
        <x:v>3.4196127946127947E-2</x:v>
      </x:c>
      <x:c r="J265" s="38">
        <x:v>0.62777055000000004</x:v>
      </x:c>
      <x:c r="K265" s="38">
        <x:v>18</x:v>
      </x:c>
      <x:c r="L265" s="38">
        <x:f t="shared" si="106"/>
        <x:v>3.1388527499999999E-2</x:v>
      </x:c>
      <x:c r="M265" s="38">
        <x:v>3.7</x:v>
      </x:c>
      <x:c r="N265" s="38">
        <x:v>0</x:v>
      </x:c>
      <x:c r="O265" s="38">
        <x:f t="shared" si="107"/>
        <x:v>0</x:v>
      </x:c>
      <x:c r="P265" s="38">
        <x:f t="shared" si="108"/>
        <x:v>3.1388527499999999E-2</x:v>
      </x:c>
      <x:c r="Q265" s="38">
        <x:v>0</x:v>
      </x:c>
      <x:c r="R265" s="38">
        <x:v>0</x:v>
      </x:c>
      <x:c r="S265" s="38">
        <x:v>1</x:v>
      </x:c>
      <x:c r="T265" s="38">
        <x:v>1</x:v>
      </x:c>
      <x:c r="U265" s="38">
        <x:v>1</x:v>
      </x:c>
      <x:c r="V265" s="38">
        <x:f t="shared" si="109"/>
        <x:v>8.3333333333333332E-3</x:v>
      </x:c>
      <x:c r="W265" s="34">
        <x:v>1</x:v>
      </x:c>
      <x:c r="X265" s="36">
        <x:v>6000</x:v>
      </x:c>
      <x:c r="Y265" s="40">
        <x:v>11</x:v>
      </x:c>
      <x:c r="Z265" s="40">
        <x:v>25</x:v>
      </x:c>
      <x:c r="AA265" s="38">
        <x:f t="shared" si="110"/>
        <x:v>6.0606060606060615E-2</x:v>
      </x:c>
      <x:c r="AB265" s="41">
        <x:v>0.98</x:v>
      </x:c>
      <x:c r="AC265" s="38">
        <x:f t="shared" si="111"/>
        <x:v>0.13726943814849174</x:v>
      </x:c>
    </x:row>
    <x:row r="266">
      <x:c r="A266" s="22" t="str">
        <x:v>PF50</x:v>
      </x:c>
      <x:c r="B266" s="22" t="s">
        <x:v>500</x:v>
      </x:c>
      <x:c r="C266" s="34">
        <x:v>8</x:v>
      </x:c>
      <x:c r="D266" s="34">
        <x:f t="shared" si="104"/>
        <x:v>450</x:v>
      </x:c>
      <x:c r="E266" s="22">
        <x:v>8</x:v>
      </x:c>
      <x:c r="F266" s="22">
        <x:v>22</x:v>
      </x:c>
      <x:c r="G266" s="22">
        <x:v>300</x:v>
      </x:c>
      <x:c r="H266" s="36">
        <x:v>800000</x:v>
      </x:c>
      <x:c r="I266" s="38">
        <x:f t="shared" si="105"/>
        <x:v>3.3670033670033669E-2</x:v>
      </x:c>
      <x:c r="J266" s="38">
        <x:v>0.62777055000000004</x:v>
      </x:c>
      <x:c r="K266" s="38">
        <x:v>6</x:v>
      </x:c>
      <x:c r="L266" s="38">
        <x:f t="shared" si="106"/>
        <x:v>8.3702740000000005E-3</x:v>
      </x:c>
      <x:c r="M266" s="38">
        <x:v>3.7</x:v>
      </x:c>
      <x:c r="N266" s="38">
        <x:v>0</x:v>
      </x:c>
      <x:c r="O266" s="38">
        <x:f t="shared" si="107"/>
        <x:v>0</x:v>
      </x:c>
      <x:c r="P266" s="38">
        <x:f t="shared" si="108"/>
        <x:v>8.3702740000000005E-3</x:v>
      </x:c>
      <x:c r="Q266" s="38">
        <x:v>0</x:v>
      </x:c>
      <x:c r="R266" s="38">
        <x:v>0</x:v>
      </x:c>
      <x:c r="S266" s="38">
        <x:v>1</x:v>
      </x:c>
      <x:c r="T266" s="38">
        <x:v>1</x:v>
      </x:c>
      <x:c r="U266" s="38">
        <x:v>1</x:v>
      </x:c>
      <x:c r="V266" s="38">
        <x:f t="shared" si="109"/>
        <x:v>6.6666666666666671E-3</x:v>
      </x:c>
      <x:c r="W266" s="34">
        <x:v>1</x:v>
      </x:c>
      <x:c r="X266" s="36">
        <x:v>6000</x:v>
      </x:c>
      <x:c r="Y266" s="40">
        <x:v>11</x:v>
      </x:c>
      <x:c r="Z266" s="40">
        <x:v>25</x:v>
      </x:c>
      <x:c r="AA266" s="38">
        <x:f t="shared" si="110"/>
        <x:v>4.8484848484848492E-2</x:v>
      </x:c>
      <x:c r="AB266" s="41">
        <x:v>0.99</x:v>
      </x:c>
      <x:c r="AC266" s="38">
        <x:f t="shared" si="111"/>
        <x:v>9.8173558405604877E-2</x:v>
      </x:c>
    </x:row>
    <x:row r="267">
      <x:c r="A267" s="22" t="str">
        <x:v>PF60</x:v>
      </x:c>
      <x:c r="B267" s="22" t="s">
        <x:v>501</x:v>
      </x:c>
      <x:c r="C267" s="34">
        <x:v>12</x:v>
      </x:c>
      <x:c r="D267" s="34">
        <x:f t="shared" si="104"/>
        <x:v>300</x:v>
      </x:c>
      <x:c r="E267" s="22">
        <x:v>8</x:v>
      </x:c>
      <x:c r="F267" s="22">
        <x:v>22</x:v>
      </x:c>
      <x:c r="G267" s="22">
        <x:v>300</x:v>
      </x:c>
      <x:c r="H267" s="36">
        <x:v>280000</x:v>
      </x:c>
      <x:c r="I267" s="38">
        <x:f t="shared" si="105"/>
        <x:v>1.767676767676768E-2</x:v>
      </x:c>
      <x:c r="J267" s="38">
        <x:v>0.62777055000000004</x:v>
      </x:c>
      <x:c r="K267" s="38">
        <x:v>8</x:v>
      </x:c>
      <x:c r="L267" s="38">
        <x:f t="shared" si="106"/>
        <x:v>1.6740548000000001E-2</x:v>
      </x:c>
      <x:c r="M267" s="38">
        <x:v>3.7</x:v>
      </x:c>
      <x:c r="N267" s="38">
        <x:v>0</x:v>
      </x:c>
      <x:c r="O267" s="38">
        <x:f t="shared" si="107"/>
        <x:v>0</x:v>
      </x:c>
      <x:c r="P267" s="38">
        <x:f t="shared" si="108"/>
        <x:v>1.6740548000000001E-2</x:v>
      </x:c>
      <x:c r="Q267" s="38">
        <x:v>0</x:v>
      </x:c>
      <x:c r="R267" s="38">
        <x:v>0</x:v>
      </x:c>
      <x:c r="S267" s="38">
        <x:v>1</x:v>
      </x:c>
      <x:c r="T267" s="38">
        <x:v>1</x:v>
      </x:c>
      <x:c r="U267" s="38">
        <x:v>1</x:v>
      </x:c>
      <x:c r="V267" s="38">
        <x:f t="shared" si="109"/>
        <x:v>0.01</x:v>
      </x:c>
      <x:c r="W267" s="34">
        <x:v>1</x:v>
      </x:c>
      <x:c r="X267" s="36">
        <x:v>6000</x:v>
      </x:c>
      <x:c r="Y267" s="40">
        <x:v>11</x:v>
      </x:c>
      <x:c r="Z267" s="40">
        <x:v>25</x:v>
      </x:c>
      <x:c r="AA267" s="38">
        <x:f t="shared" si="110"/>
        <x:v>7.2727272727272738E-2</x:v>
      </x:c>
      <x:c r="AB267" s="41">
        <x:v>0.99</x:v>
      </x:c>
      <x:c r="AC267" s="38">
        <x:f t="shared" si="111"/>
        <x:v>0.1183278670747883</x:v>
      </x:c>
    </x:row>
    <x:row r="268">
      <x:c r="A268" s="22"/>
      <x:c r="B268" s="22"/>
      <x:c r="C268" s="34"/>
      <x:c r="D268" s="34"/>
      <x:c r="E268" s="22"/>
      <x:c r="F268" s="22"/>
      <x:c r="G268" s="22"/>
      <x:c r="H268" s="36"/>
      <x:c r="I268" s="38"/>
      <x:c r="J268" s="38"/>
      <x:c r="K268" s="38"/>
      <x:c r="L268" s="38"/>
      <x:c r="M268" s="38"/>
      <x:c r="N268" s="38"/>
      <x:c r="O268" s="38"/>
      <x:c r="P268" s="38"/>
      <x:c r="Q268" s="38"/>
      <x:c r="R268" s="38"/>
      <x:c r="S268" s="38"/>
      <x:c r="T268" s="38"/>
      <x:c r="U268" s="38"/>
      <x:c r="V268" s="38"/>
      <x:c r="W268" s="34"/>
      <x:c r="X268" s="36"/>
      <x:c r="Y268" s="40"/>
      <x:c r="Z268" s="40"/>
      <x:c r="AA268" s="38"/>
      <x:c r="AB268" s="41"/>
      <x:c r="AC268" s="38"/>
    </x:row>
    <x:row r="269">
      <x:c r="A269" s="22"/>
      <x:c r="B269" s="22"/>
      <x:c r="C269" s="34"/>
      <x:c r="D269" s="34"/>
      <x:c r="E269" s="22"/>
      <x:c r="F269" s="22"/>
      <x:c r="G269" s="22"/>
      <x:c r="H269" s="36"/>
      <x:c r="I269" s="38"/>
      <x:c r="J269" s="38"/>
      <x:c r="K269" s="38"/>
      <x:c r="L269" s="38"/>
      <x:c r="M269" s="38"/>
      <x:c r="N269" s="38"/>
      <x:c r="O269" s="38"/>
      <x:c r="P269" s="38"/>
      <x:c r="Q269" s="38"/>
      <x:c r="R269" s="38"/>
      <x:c r="S269" s="38"/>
      <x:c r="T269" s="38"/>
      <x:c r="U269" s="38"/>
      <x:c r="V269" s="38"/>
      <x:c r="W269" s="34"/>
      <x:c r="X269" s="36"/>
      <x:c r="Y269" s="40"/>
      <x:c r="Z269" s="40"/>
      <x:c r="AA269" s="38"/>
      <x:c r="AB269" s="41"/>
      <x:c r="AC269" s="38"/>
    </x:row>
    <x:row r="270">
      <x:c r="A270" s="22"/>
      <x:c r="B270" s="22"/>
      <x:c r="C270" s="34"/>
      <x:c r="D270" s="34"/>
      <x:c r="E270" s="22"/>
      <x:c r="F270" s="22"/>
      <x:c r="G270" s="22"/>
      <x:c r="H270" s="36"/>
      <x:c r="I270" s="38"/>
      <x:c r="J270" s="38"/>
      <x:c r="K270" s="38"/>
      <x:c r="L270" s="38"/>
      <x:c r="M270" s="38"/>
      <x:c r="N270" s="38"/>
      <x:c r="O270" s="38"/>
      <x:c r="P270" s="38"/>
      <x:c r="Q270" s="38"/>
      <x:c r="R270" s="38"/>
      <x:c r="S270" s="38"/>
      <x:c r="T270" s="38"/>
      <x:c r="U270" s="38"/>
      <x:c r="V270" s="38"/>
      <x:c r="W270" s="34"/>
      <x:c r="X270" s="36"/>
      <x:c r="Y270" s="40"/>
      <x:c r="Z270" s="40"/>
      <x:c r="AA270" s="38"/>
      <x:c r="AB270" s="41"/>
      <x:c r="AC270" s="38"/>
    </x:row>
    <x:row r="271">
      <x:c r="A271" s="22"/>
      <x:c r="B271" s="22"/>
      <x:c r="C271" s="34"/>
      <x:c r="D271" s="34"/>
      <x:c r="E271" s="22"/>
      <x:c r="F271" s="22"/>
      <x:c r="G271" s="22"/>
      <x:c r="H271" s="36"/>
      <x:c r="I271" s="38"/>
      <x:c r="J271" s="38"/>
      <x:c r="K271" s="38"/>
      <x:c r="L271" s="38"/>
      <x:c r="M271" s="38"/>
      <x:c r="N271" s="38"/>
      <x:c r="O271" s="38"/>
      <x:c r="P271" s="38"/>
      <x:c r="Q271" s="38"/>
      <x:c r="R271" s="38"/>
      <x:c r="S271" s="38"/>
      <x:c r="T271" s="38"/>
      <x:c r="U271" s="38"/>
      <x:c r="V271" s="38"/>
      <x:c r="W271" s="34"/>
      <x:c r="X271" s="36"/>
      <x:c r="Y271" s="40"/>
      <x:c r="Z271" s="40"/>
      <x:c r="AA271" s="38"/>
      <x:c r="AB271" s="41"/>
      <x:c r="AC271" s="38"/>
    </x:row>
    <x:row r="272">
      <x:c r="A272" s="22"/>
      <x:c r="B272" s="22"/>
      <x:c r="C272" s="34"/>
      <x:c r="D272" s="34"/>
      <x:c r="E272" s="22"/>
      <x:c r="F272" s="22"/>
      <x:c r="G272" s="22"/>
      <x:c r="H272" s="36"/>
      <x:c r="I272" s="38"/>
      <x:c r="J272" s="38"/>
      <x:c r="K272" s="38"/>
      <x:c r="L272" s="38"/>
      <x:c r="M272" s="38"/>
      <x:c r="N272" s="38"/>
      <x:c r="O272" s="38"/>
      <x:c r="P272" s="38"/>
      <x:c r="Q272" s="38"/>
      <x:c r="R272" s="38"/>
      <x:c r="S272" s="38"/>
      <x:c r="T272" s="38"/>
      <x:c r="U272" s="38"/>
      <x:c r="V272" s="38"/>
      <x:c r="W272" s="34"/>
      <x:c r="X272" s="36"/>
      <x:c r="Y272" s="40"/>
      <x:c r="Z272" s="40"/>
      <x:c r="AA272" s="38"/>
      <x:c r="AB272" s="41"/>
      <x:c r="AC272" s="38"/>
    </x:row>
    <x:row r="273">
      <x:c r="A273" s="22"/>
      <x:c r="B273" s="22"/>
      <x:c r="C273" s="34"/>
      <x:c r="D273" s="34"/>
      <x:c r="E273" s="22"/>
      <x:c r="F273" s="22"/>
      <x:c r="G273" s="22"/>
      <x:c r="H273" s="36"/>
      <x:c r="I273" s="38"/>
      <x:c r="J273" s="38"/>
      <x:c r="K273" s="38"/>
      <x:c r="L273" s="38"/>
      <x:c r="M273" s="38"/>
      <x:c r="N273" s="38"/>
      <x:c r="O273" s="38"/>
      <x:c r="P273" s="38"/>
      <x:c r="Q273" s="38"/>
      <x:c r="R273" s="38"/>
      <x:c r="S273" s="38"/>
      <x:c r="T273" s="38"/>
      <x:c r="U273" s="38"/>
      <x:c r="V273" s="38"/>
      <x:c r="W273" s="34"/>
      <x:c r="X273" s="36"/>
      <x:c r="Y273" s="40"/>
      <x:c r="Z273" s="40"/>
      <x:c r="AA273" s="38"/>
      <x:c r="AB273" s="41"/>
      <x:c r="AC273" s="38"/>
    </x:row>
    <x:row r="274">
      <x:c r="A274" s="43" t="str">
        <x:v>复合材料铺层</x:v>
      </x:c>
      <x:c r="B274" s="43"/>
      <x:c r="C274" s="44"/>
      <x:c r="D274" s="44"/>
      <x:c r="E274" s="43"/>
      <x:c r="F274" s="43"/>
      <x:c r="G274" s="43"/>
      <x:c r="H274" s="45"/>
      <x:c r="I274" s="46"/>
      <x:c r="J274" s="46"/>
      <x:c r="K274" s="46"/>
      <x:c r="L274" s="46"/>
      <x:c r="M274" s="46"/>
      <x:c r="N274" s="46"/>
      <x:c r="O274" s="46"/>
      <x:c r="P274" s="46"/>
      <x:c r="Q274" s="46"/>
      <x:c r="R274" s="46"/>
      <x:c r="S274" s="46"/>
      <x:c r="T274" s="46"/>
      <x:c r="U274" s="46"/>
      <x:c r="V274" s="46"/>
      <x:c r="W274" s="44"/>
      <x:c r="X274" s="45"/>
      <x:c r="Y274" s="47"/>
      <x:c r="Z274" s="47"/>
      <x:c r="AA274" s="46"/>
      <x:c r="AB274" s="48"/>
      <x:c r="AC274" s="46"/>
    </x:row>
    <x:row r="275">
      <x:c r="A275" s="22" t="str">
        <x:v>CF10</x:v>
      </x:c>
      <x:c r="B275" s="22" t="s">
        <x:v>502</x:v>
      </x:c>
      <x:c r="C275" s="34">
        <x:v>90</x:v>
      </x:c>
      <x:c r="D275" s="34" t="n">
        <x:f>IFERROR(60*60/C275,0)</x:f>
        <x:v>40</x:v>
      </x:c>
      <x:c r="E275" s="22">
        <x:v>7</x:v>
      </x:c>
      <x:c r="F275" s="22">
        <x:v>22</x:v>
      </x:c>
      <x:c r="G275" s="22">
        <x:v>300</x:v>
      </x:c>
      <x:c r="H275" s="36">
        <x:v>80000</x:v>
      </x:c>
      <x:c r="I275" s="38" t="n">
        <x:f>IFERROR(H275/E275/F275/G275/D275,0)</x:f>
        <x:v>0.043290043290043295</x:v>
      </x:c>
      <x:c r="J275" s="38">
        <x:v>0.62777055000000004</x:v>
      </x:c>
      <x:c r="K275" s="38">
        <x:v>1</x:v>
      </x:c>
      <x:c r="L275" s="38" t="n">
        <x:f>IFERROR(J275*K275/D275,0)</x:f>
        <x:v>0.01569426375</x:v>
      </x:c>
      <x:c r="M275" s="38">
        <x:v>3.7</x:v>
      </x:c>
      <x:c r="N275" s="38">
        <x:v>0</x:v>
      </x:c>
      <x:c r="O275" s="38" t="n">
        <x:f>IFERROR(N275*M275/D275,0)</x:f>
        <x:v>0</x:v>
      </x:c>
      <x:c r="P275" s="38" t="n">
        <x:f>O275+L275</x:f>
        <x:v>0.01569426375</x:v>
      </x:c>
      <x:c r="Q275" s="38">
        <x:v>0</x:v>
      </x:c>
      <x:c r="R275" s="38">
        <x:v>0</x:v>
      </x:c>
      <x:c r="S275" s="38">
        <x:v>0</x:v>
      </x:c>
      <x:c r="T275" s="38">
        <x:v>0</x:v>
      </x:c>
      <x:c r="U275" s="38">
        <x:v>4</x:v>
      </x:c>
      <x:c r="V275" s="38" t="n">
        <x:f>IFERROR((Q275+R275+S275+T275+U275)/D275,0)</x:f>
        <x:v>0.1</x:v>
      </x:c>
      <x:c r="W275" s="34">
        <x:v>2</x:v>
      </x:c>
      <x:c r="X275" s="36">
        <x:v>6000</x:v>
      </x:c>
      <x:c r="Y275" s="40">
        <x:v>11</x:v>
      </x:c>
      <x:c r="Z275" s="40">
        <x:v>25</x:v>
      </x:c>
      <x:c r="AA275" s="38" t="n">
        <x:f>IFERROR((W275*X275)/Y275/Z275/D275,0)</x:f>
        <x:v>1.090909090909091</x:v>
      </x:c>
      <x:c r="AB275" s="41">
        <x:v>0.92</x:v>
      </x:c>
      <x:c r="AC275" s="38" t="n">
        <x:f>IFERROR((I275+P275+V275+AA275)/AB275,0)</x:f>
        <x:v>1.3585797803794937</x:v>
      </x:c>
    </x:row>
    <x:row r="276">
      <x:c r="A276" s="22" t="str">
        <x:v>CF20</x:v>
      </x:c>
      <x:c r="B276" s="22" t="s">
        <x:v>503</x:v>
      </x:c>
      <x:c r="C276" s="34">
        <x:v>60</x:v>
      </x:c>
      <x:c r="D276" s="34" t="n">
        <x:f>IFERROR(60*60/C276,0)</x:f>
        <x:v>60</x:v>
      </x:c>
      <x:c r="E276" s="22">
        <x:v>7</x:v>
      </x:c>
      <x:c r="F276" s="22">
        <x:v>22</x:v>
      </x:c>
      <x:c r="G276" s="22">
        <x:v>300</x:v>
      </x:c>
      <x:c r="H276" s="36">
        <x:v>120000</x:v>
      </x:c>
      <x:c r="I276" s="38" t="n">
        <x:f>IFERROR(H276/E276/F276/G276/D276,0)</x:f>
        <x:v>0.04329004329004329</x:v>
      </x:c>
      <x:c r="J276" s="38">
        <x:v>0.62777055000000004</x:v>
      </x:c>
      <x:c r="K276" s="38">
        <x:v>2</x:v>
      </x:c>
      <x:c r="L276" s="38" t="n">
        <x:f>IFERROR(J276*K276/D276,0)</x:f>
        <x:v>0.020925685000000003</x:v>
      </x:c>
      <x:c r="M276" s="38">
        <x:v>3.7</x:v>
      </x:c>
      <x:c r="N276" s="38">
        <x:v>0</x:v>
      </x:c>
      <x:c r="O276" s="38" t="n">
        <x:f>IFERROR(N276*M276/D276,0)</x:f>
        <x:v>0</x:v>
      </x:c>
      <x:c r="P276" s="38" t="n">
        <x:f>O276+L276</x:f>
        <x:v>0.020925685000000003</x:v>
      </x:c>
      <x:c r="Q276" s="38">
        <x:v>0</x:v>
      </x:c>
      <x:c r="R276" s="38">
        <x:v>0</x:v>
      </x:c>
      <x:c r="S276" s="38">
        <x:v>0</x:v>
      </x:c>
      <x:c r="T276" s="38">
        <x:v>0</x:v>
      </x:c>
      <x:c r="U276" s="38">
        <x:v>4</x:v>
      </x:c>
      <x:c r="V276" s="38" t="n">
        <x:f>IFERROR((Q276+R276+S276+T276+U276)/D276,0)</x:f>
        <x:v>0.06666666666666667</x:v>
      </x:c>
      <x:c r="W276" s="34">
        <x:v>2</x:v>
      </x:c>
      <x:c r="X276" s="36">
        <x:v>6000</x:v>
      </x:c>
      <x:c r="Y276" s="40">
        <x:v>11</x:v>
      </x:c>
      <x:c r="Z276" s="40">
        <x:v>25</x:v>
      </x:c>
      <x:c r="AA276" s="38" t="n">
        <x:f>IFERROR((W276*X276)/Y276/Z276/D276,0)</x:f>
        <x:v>0.7272727272727273</x:v>
      </x:c>
      <x:c r="AB276" s="41">
        <x:v>0.95</x:v>
      </x:c>
      <x:c r="AC276" s="38" t="n">
        <x:f>IFERROR((I276+P276+V276+AA276)/AB276,0)</x:f>
        <x:v>0.9033211812941445</x:v>
      </x:c>
    </x:row>
    <x:row r="277">
      <x:c r="A277" s="22" t="str">
        <x:v>CF30</x:v>
      </x:c>
      <x:c r="B277" s="22" t="s">
        <x:v>504</x:v>
      </x:c>
      <x:c r="C277" s="34">
        <x:v>30</x:v>
      </x:c>
      <x:c r="D277" s="34" t="n">
        <x:f>IFERROR(60*60/C277,0)</x:f>
        <x:v>120</x:v>
      </x:c>
      <x:c r="E277" s="22">
        <x:v>12</x:v>
      </x:c>
      <x:c r="F277" s="22">
        <x:v>22</x:v>
      </x:c>
      <x:c r="G277" s="22">
        <x:v>300</x:v>
      </x:c>
      <x:c r="H277" s="36">
        <x:v>3500000</x:v>
      </x:c>
      <x:c r="I277" s="38" t="n">
        <x:f>IFERROR(H277/E277/F277/G277/D277,0)</x:f>
        <x:v>0.36826599326599324</x:v>
      </x:c>
      <x:c r="J277" s="38">
        <x:v>0.62777055000000004</x:v>
      </x:c>
      <x:c r="K277" s="38">
        <x:v>120</x:v>
      </x:c>
      <x:c r="L277" s="38" t="n">
        <x:f>IFERROR(J277*K277/D277,0)</x:f>
        <x:v>0.62777055</x:v>
      </x:c>
      <x:c r="M277" s="38">
        <x:v>3.7</x:v>
      </x:c>
      <x:c r="N277" s="38">
        <x:v>0</x:v>
      </x:c>
      <x:c r="O277" s="38" t="n">
        <x:f>IFERROR(N277*M277/D277,0)</x:f>
        <x:v>0</x:v>
      </x:c>
      <x:c r="P277" s="38" t="n">
        <x:f>O277+L277</x:f>
        <x:v>0.62777055</x:v>
      </x:c>
      <x:c r="Q277" s="38">
        <x:v>0</x:v>
      </x:c>
      <x:c r="R277" s="38">
        <x:v>0</x:v>
      </x:c>
      <x:c r="S277" s="38">
        <x:v>0</x:v>
      </x:c>
      <x:c r="T277" s="38">
        <x:v>0</x:v>
      </x:c>
      <x:c r="U277" s="38">
        <x:v>4</x:v>
      </x:c>
      <x:c r="V277" s="38" t="n">
        <x:f>IFERROR((Q277+R277+S277+T277+U277)/D277,0)</x:f>
        <x:v>0.03333333333333333</x:v>
      </x:c>
      <x:c r="W277" s="34">
        <x:v>2</x:v>
      </x:c>
      <x:c r="X277" s="36">
        <x:v>6000</x:v>
      </x:c>
      <x:c r="Y277" s="40">
        <x:v>11</x:v>
      </x:c>
      <x:c r="Z277" s="40">
        <x:v>25</x:v>
      </x:c>
      <x:c r="AA277" s="38" t="n">
        <x:f>IFERROR((W277*X277)/Y277/Z277/D277,0)</x:f>
        <x:v>0.36363636363636365</x:v>
      </x:c>
      <x:c r="AB277" s="41">
        <x:v>0.95</x:v>
      </x:c>
      <x:c r="AC277" s="38" t="n">
        <x:f>IFERROR((I277+P277+V277+AA277)/AB277,0)</x:f>
        <x:v>1.466322358142832</x:v>
      </x:c>
    </x:row>
    <x:row r="278">
      <x:c r="A278" s="22" t="str">
        <x:v>CF40</x:v>
      </x:c>
      <x:c r="B278" s="22" t="s">
        <x:v>505</x:v>
      </x:c>
      <x:c r="C278" s="34">
        <x:v>120</x:v>
      </x:c>
      <x:c r="D278" s="34" t="n">
        <x:f>IFERROR(60*60/C278,0)</x:f>
        <x:v>30</x:v>
      </x:c>
      <x:c r="E278" s="22">
        <x:v>10</x:v>
      </x:c>
      <x:c r="F278" s="22">
        <x:v>22</x:v>
      </x:c>
      <x:c r="G278" s="22">
        <x:v>300</x:v>
      </x:c>
      <x:c r="H278" s="36">
        <x:v>1200000</x:v>
      </x:c>
      <x:c r="I278" s="38" t="n">
        <x:f>IFERROR(H278/E278/F278/G278/D278,0)</x:f>
        <x:v>0.6060606060606061</x:v>
      </x:c>
      <x:c r="J278" s="38">
        <x:v>0.62777055000000004</x:v>
      </x:c>
      <x:c r="K278" s="38">
        <x:v>30</x:v>
      </x:c>
      <x:c r="L278" s="38" t="n">
        <x:f>IFERROR(J278*K278/D278,0)</x:f>
        <x:v>0.62777055</x:v>
      </x:c>
      <x:c r="M278" s="38">
        <x:v>3.7</x:v>
      </x:c>
      <x:c r="N278" s="38">
        <x:v>0</x:v>
      </x:c>
      <x:c r="O278" s="38" t="n">
        <x:f>IFERROR(N278*M278/D278,0)</x:f>
        <x:v>0</x:v>
      </x:c>
      <x:c r="P278" s="38" t="n">
        <x:f>O278+L278</x:f>
        <x:v>0.62777055</x:v>
      </x:c>
      <x:c r="Q278" s="38">
        <x:v>0</x:v>
      </x:c>
      <x:c r="R278" s="38">
        <x:v>0</x:v>
      </x:c>
      <x:c r="S278" s="38">
        <x:v>0</x:v>
      </x:c>
      <x:c r="T278" s="38">
        <x:v>0</x:v>
      </x:c>
      <x:c r="U278" s="38">
        <x:v>4</x:v>
      </x:c>
      <x:c r="V278" s="38" t="n">
        <x:f>IFERROR((Q278+R278+S278+T278+U278)/D278,0)</x:f>
        <x:v>0.13333333333333333</x:v>
      </x:c>
      <x:c r="W278" s="34">
        <x:v>2</x:v>
      </x:c>
      <x:c r="X278" s="36">
        <x:v>6000</x:v>
      </x:c>
      <x:c r="Y278" s="40">
        <x:v>11</x:v>
      </x:c>
      <x:c r="Z278" s="40">
        <x:v>25</x:v>
      </x:c>
      <x:c r="AA278" s="38" t="n">
        <x:f>IFERROR((W278*X278)/Y278/Z278/D278,0)</x:f>
        <x:v>1.4545454545454546</x:v>
      </x:c>
      <x:c r="AB278" s="41">
        <x:v>0.94</x:v>
      </x:c>
      <x:c r="AC278" s="38" t="n">
        <x:f>IFERROR((I278+P278+V278+AA278)/AB278,0)</x:f>
        <x:v>3.0018190892972276</x:v>
      </x:c>
    </x:row>
    <x:row r="279">
      <x:c r="A279" s="22" t="str">
        <x:v>CF50</x:v>
      </x:c>
      <x:c r="B279" s="22" t="s">
        <x:v>506</x:v>
      </x:c>
      <x:c r="C279" s="34">
        <x:v>180</x:v>
      </x:c>
      <x:c r="D279" s="34" t="n">
        <x:f>IFERROR(60*60/C279,0)</x:f>
        <x:v>20</x:v>
      </x:c>
      <x:c r="E279" s="22">
        <x:v>8</x:v>
      </x:c>
      <x:c r="F279" s="22">
        <x:v>22</x:v>
      </x:c>
      <x:c r="G279" s="22">
        <x:v>300</x:v>
      </x:c>
      <x:c r="H279" s="36">
        <x:v>900000</x:v>
      </x:c>
      <x:c r="I279" s="38" t="n">
        <x:f>IFERROR(H279/E279/F279/G279/D279,0)</x:f>
        <x:v>0.8522727272727273</x:v>
      </x:c>
      <x:c r="J279" s="38">
        <x:v>0.62777055000000004</x:v>
      </x:c>
      <x:c r="K279" s="38">
        <x:v>18</x:v>
      </x:c>
      <x:c r="L279" s="38" t="n">
        <x:f>IFERROR(J279*K279/D279,0)</x:f>
        <x:v>0.5649934950000001</x:v>
      </x:c>
      <x:c r="M279" s="38">
        <x:v>3.7</x:v>
      </x:c>
      <x:c r="N279" s="38">
        <x:v>0</x:v>
      </x:c>
      <x:c r="O279" s="38" t="n">
        <x:f>IFERROR(N279*M279/D279,0)</x:f>
        <x:v>0</x:v>
      </x:c>
      <x:c r="P279" s="38" t="n">
        <x:f>O279+L279</x:f>
        <x:v>0.5649934950000001</x:v>
      </x:c>
      <x:c r="Q279" s="38">
        <x:v>0</x:v>
      </x:c>
      <x:c r="R279" s="38">
        <x:v>0</x:v>
      </x:c>
      <x:c r="S279" s="38">
        <x:v>0</x:v>
      </x:c>
      <x:c r="T279" s="38">
        <x:v>0</x:v>
      </x:c>
      <x:c r="U279" s="38">
        <x:v>4</x:v>
      </x:c>
      <x:c r="V279" s="38" t="n">
        <x:f>IFERROR((Q279+R279+S279+T279+U279)/D279,0)</x:f>
        <x:v>0.2</x:v>
      </x:c>
      <x:c r="W279" s="34">
        <x:v>1</x:v>
      </x:c>
      <x:c r="X279" s="36">
        <x:v>6000</x:v>
      </x:c>
      <x:c r="Y279" s="40">
        <x:v>11</x:v>
      </x:c>
      <x:c r="Z279" s="40">
        <x:v>25</x:v>
      </x:c>
      <x:c r="AA279" s="38" t="n">
        <x:f>IFERROR((W279*X279)/Y279/Z279/D279,0)</x:f>
        <x:v>1.090909090909091</x:v>
      </x:c>
      <x:c r="AB279" s="41">
        <x:v>0.95</x:v>
      </x:c>
      <x:c r="AC279" s="38" t="n">
        <x:f>IFERROR((I279+P279+V279+AA279)/AB279,0)</x:f>
        <x:v>2.8507108559808616</x:v>
      </x:c>
    </x:row>
    <x:row r="280">
      <x:c r="A280" s="22"/>
      <x:c r="B280" s="22"/>
      <x:c r="C280" s="34"/>
      <x:c r="D280" s="34"/>
      <x:c r="E280" s="22"/>
      <x:c r="F280" s="22"/>
      <x:c r="G280" s="22"/>
      <x:c r="H280" s="36"/>
      <x:c r="I280" s="38"/>
      <x:c r="J280" s="38"/>
      <x:c r="K280" s="38"/>
      <x:c r="L280" s="38"/>
      <x:c r="M280" s="38"/>
      <x:c r="N280" s="38"/>
      <x:c r="O280" s="38"/>
      <x:c r="P280" s="38"/>
      <x:c r="Q280" s="38"/>
      <x:c r="R280" s="38"/>
      <x:c r="S280" s="38"/>
      <x:c r="T280" s="38"/>
      <x:c r="U280" s="38"/>
      <x:c r="V280" s="38"/>
      <x:c r="W280" s="34"/>
      <x:c r="X280" s="36"/>
      <x:c r="Y280" s="40"/>
      <x:c r="Z280" s="40"/>
      <x:c r="AA280" s="38"/>
      <x:c r="AB280" s="41"/>
      <x:c r="AC280" s="38"/>
    </x:row>
    <x:row r="281">
      <x:c r="A281" s="22"/>
      <x:c r="B281" s="22"/>
      <x:c r="C281" s="34"/>
      <x:c r="D281" s="34"/>
      <x:c r="E281" s="22"/>
      <x:c r="F281" s="22"/>
      <x:c r="G281" s="22"/>
      <x:c r="H281" s="36"/>
      <x:c r="I281" s="38"/>
      <x:c r="J281" s="38"/>
      <x:c r="K281" s="38"/>
      <x:c r="L281" s="38"/>
      <x:c r="M281" s="38"/>
      <x:c r="N281" s="38"/>
      <x:c r="O281" s="38"/>
      <x:c r="P281" s="38"/>
      <x:c r="Q281" s="38"/>
      <x:c r="R281" s="38"/>
      <x:c r="S281" s="38"/>
      <x:c r="T281" s="38"/>
      <x:c r="U281" s="38"/>
      <x:c r="V281" s="38"/>
      <x:c r="W281" s="34"/>
      <x:c r="X281" s="36"/>
      <x:c r="Y281" s="40"/>
      <x:c r="Z281" s="40"/>
      <x:c r="AA281" s="38"/>
      <x:c r="AB281" s="41"/>
      <x:c r="AC281" s="38"/>
    </x:row>
    <x:row r="282">
      <x:c r="A282" s="22"/>
      <x:c r="B282" s="22"/>
      <x:c r="C282" s="34"/>
      <x:c r="D282" s="34"/>
      <x:c r="E282" s="22"/>
      <x:c r="F282" s="22"/>
      <x:c r="G282" s="22"/>
      <x:c r="H282" s="36"/>
      <x:c r="I282" s="38"/>
      <x:c r="J282" s="38"/>
      <x:c r="K282" s="38"/>
      <x:c r="L282" s="38"/>
      <x:c r="M282" s="38"/>
      <x:c r="N282" s="38"/>
      <x:c r="O282" s="38"/>
      <x:c r="P282" s="38"/>
      <x:c r="Q282" s="38"/>
      <x:c r="R282" s="38"/>
      <x:c r="S282" s="38"/>
      <x:c r="T282" s="38"/>
      <x:c r="U282" s="38"/>
      <x:c r="V282" s="38"/>
      <x:c r="W282" s="34"/>
      <x:c r="X282" s="36"/>
      <x:c r="Y282" s="40"/>
      <x:c r="Z282" s="40"/>
      <x:c r="AA282" s="38"/>
      <x:c r="AB282" s="41"/>
      <x:c r="AC282" s="38"/>
    </x:row>
    <x:row r="283">
      <x:c r="A283" s="22"/>
      <x:c r="B283" s="22"/>
      <x:c r="C283" s="34"/>
      <x:c r="D283" s="34"/>
      <x:c r="E283" s="22"/>
      <x:c r="F283" s="22"/>
      <x:c r="G283" s="22"/>
      <x:c r="H283" s="36"/>
      <x:c r="I283" s="38"/>
      <x:c r="J283" s="38"/>
      <x:c r="K283" s="38"/>
      <x:c r="L283" s="38"/>
      <x:c r="M283" s="38"/>
      <x:c r="N283" s="38"/>
      <x:c r="O283" s="38"/>
      <x:c r="P283" s="38"/>
      <x:c r="Q283" s="38"/>
      <x:c r="R283" s="38"/>
      <x:c r="S283" s="38"/>
      <x:c r="T283" s="38"/>
      <x:c r="U283" s="38"/>
      <x:c r="V283" s="38"/>
      <x:c r="W283" s="34"/>
      <x:c r="X283" s="36"/>
      <x:c r="Y283" s="40"/>
      <x:c r="Z283" s="40"/>
      <x:c r="AA283" s="38"/>
      <x:c r="AB283" s="41"/>
      <x:c r="AC283" s="38"/>
    </x:row>
    <x:row r="284">
      <x:c r="A284" s="22"/>
      <x:c r="B284" s="22"/>
      <x:c r="C284" s="34"/>
      <x:c r="D284" s="34"/>
      <x:c r="E284" s="22"/>
      <x:c r="F284" s="22"/>
      <x:c r="G284" s="22"/>
      <x:c r="H284" s="36"/>
      <x:c r="I284" s="38"/>
      <x:c r="J284" s="38"/>
      <x:c r="K284" s="38"/>
      <x:c r="L284" s="38"/>
      <x:c r="M284" s="38"/>
      <x:c r="N284" s="38"/>
      <x:c r="O284" s="38"/>
      <x:c r="P284" s="38"/>
      <x:c r="Q284" s="38"/>
      <x:c r="R284" s="38"/>
      <x:c r="S284" s="38"/>
      <x:c r="T284" s="38"/>
      <x:c r="U284" s="38"/>
      <x:c r="V284" s="38"/>
      <x:c r="W284" s="34"/>
      <x:c r="X284" s="36"/>
      <x:c r="Y284" s="40"/>
      <x:c r="Z284" s="40"/>
      <x:c r="AA284" s="38"/>
      <x:c r="AB284" s="41"/>
      <x:c r="AC284" s="38"/>
    </x:row>
    <x:row r="285">
      <x:c r="A285" s="43" t="str">
        <x:v>烤漆/喷漆工艺</x:v>
      </x:c>
      <x:c r="B285" s="43"/>
      <x:c r="C285" s="44"/>
      <x:c r="D285" s="44"/>
      <x:c r="E285" s="43"/>
      <x:c r="F285" s="43"/>
      <x:c r="G285" s="43"/>
      <x:c r="H285" s="45"/>
      <x:c r="I285" s="46"/>
      <x:c r="J285" s="46"/>
      <x:c r="K285" s="46"/>
      <x:c r="L285" s="46"/>
      <x:c r="M285" s="46"/>
      <x:c r="N285" s="46"/>
      <x:c r="O285" s="46"/>
      <x:c r="P285" s="46"/>
      <x:c r="Q285" s="46"/>
      <x:c r="R285" s="46"/>
      <x:c r="S285" s="46"/>
      <x:c r="T285" s="46"/>
      <x:c r="U285" s="46"/>
      <x:c r="V285" s="46"/>
      <x:c r="W285" s="44"/>
      <x:c r="X285" s="45"/>
      <x:c r="Y285" s="47"/>
      <x:c r="Z285" s="47"/>
      <x:c r="AA285" s="46"/>
      <x:c r="AB285" s="48"/>
      <x:c r="AC285" s="46"/>
    </x:row>
    <x:row r="286">
      <x:c r="A286" s="22" t="str">
        <x:v>PA10</x:v>
      </x:c>
      <x:c r="B286" s="22" t="s">
        <x:v>507</x:v>
      </x:c>
      <x:c r="C286" s="34">
        <x:v>10</x:v>
      </x:c>
      <x:c r="D286" s="34" t="n">
        <x:f>IFERROR(60*60/C286,0)</x:f>
        <x:v>360</x:v>
      </x:c>
      <x:c r="E286" s="22">
        <x:v>10</x:v>
      </x:c>
      <x:c r="F286" s="22">
        <x:v>22</x:v>
      </x:c>
      <x:c r="G286" s="22">
        <x:v>300</x:v>
      </x:c>
      <x:c r="H286" s="36">
        <x:v>1800000</x:v>
      </x:c>
      <x:c r="I286" s="38" t="n">
        <x:f>IFERROR(H286/E286/F286/G286/D286,0)</x:f>
        <x:v>0.07575757575757576</x:v>
      </x:c>
      <x:c r="J286" s="38">
        <x:v>0.62777055000000004</x:v>
      </x:c>
      <x:c r="K286" s="38">
        <x:v>35</x:v>
      </x:c>
      <x:c r="L286" s="38" t="n">
        <x:f>IFERROR(J286*K286/D286,0)</x:f>
        <x:v>0.06103324791666667</x:v>
      </x:c>
      <x:c r="M286" s="38">
        <x:v>3.7</x:v>
      </x:c>
      <x:c r="N286" s="38">
        <x:v>8</x:v>
      </x:c>
      <x:c r="O286" s="38" t="n">
        <x:f>IFERROR(N286*M286/D286,0)</x:f>
        <x:v>0.08222222222222222</x:v>
      </x:c>
      <x:c r="P286" s="38" t="n">
        <x:f>O286+L286</x:f>
        <x:v>0.1432554701388889</x:v>
      </x:c>
      <x:c r="Q286" s="38">
        <x:v>0</x:v>
      </x:c>
      <x:c r="R286" s="38">
        <x:v>0</x:v>
      </x:c>
      <x:c r="S286" s="38">
        <x:v>2</x:v>
      </x:c>
      <x:c r="T286" s="38">
        <x:v>0</x:v>
      </x:c>
      <x:c r="U286" s="38">
        <x:v>3</x:v>
      </x:c>
      <x:c r="V286" s="38" t="n">
        <x:f>IFERROR((Q286+R286+S286+T286+U286)/D286,0)</x:f>
        <x:v>0.013888888888888888</x:v>
      </x:c>
      <x:c r="W286" s="34">
        <x:v>3</x:v>
      </x:c>
      <x:c r="X286" s="36">
        <x:v>6000</x:v>
      </x:c>
      <x:c r="Y286" s="40">
        <x:v>11</x:v>
      </x:c>
      <x:c r="Z286" s="40">
        <x:v>25</x:v>
      </x:c>
      <x:c r="AA286" s="38" t="n">
        <x:f>IFERROR((W286*X286)/Y286/Z286/D286,0)</x:f>
        <x:v>0.18181818181818182</x:v>
      </x:c>
      <x:c r="AB286" s="41">
        <x:v>0.95</x:v>
      </x:c>
      <x:c r="AC286" s="38" t="n">
        <x:f>IFERROR((I286+P286+V286+AA286)/AB286,0)</x:f>
        <x:v>0.4365474911616162</x:v>
      </x:c>
    </x:row>
    <x:row r="287">
      <x:c r="A287" s="22" t="str">
        <x:v>PA20</x:v>
      </x:c>
      <x:c r="B287" s="22" t="s">
        <x:v>508</x:v>
      </x:c>
      <x:c r="C287" s="34">
        <x:v>12</x:v>
      </x:c>
      <x:c r="D287" s="34" t="n">
        <x:f>IFERROR(60*60/C287,0)</x:f>
        <x:v>300</x:v>
      </x:c>
      <x:c r="E287" s="22">
        <x:v>10</x:v>
      </x:c>
      <x:c r="F287" s="22">
        <x:v>22</x:v>
      </x:c>
      <x:c r="G287" s="22">
        <x:v>300</x:v>
      </x:c>
      <x:c r="H287" s="36">
        <x:v>2200000</x:v>
      </x:c>
      <x:c r="I287" s="38" t="n">
        <x:f>IFERROR(H287/E287/F287/G287/D287,0)</x:f>
        <x:v>0.11111111111111112</x:v>
      </x:c>
      <x:c r="J287" s="38">
        <x:v>0.62777055000000004</x:v>
      </x:c>
      <x:c r="K287" s="38">
        <x:v>40</x:v>
      </x:c>
      <x:c r="L287" s="38" t="n">
        <x:f>IFERROR(J287*K287/D287,0)</x:f>
        <x:v>0.08370274000000001</x:v>
      </x:c>
      <x:c r="M287" s="38">
        <x:v>3.7</x:v>
      </x:c>
      <x:c r="N287" s="38">
        <x:v>8</x:v>
      </x:c>
      <x:c r="O287" s="38" t="n">
        <x:f>IFERROR(N287*M287/D287,0)</x:f>
        <x:v>0.09866666666666667</x:v>
      </x:c>
      <x:c r="P287" s="38" t="n">
        <x:f>O287+L287</x:f>
        <x:v>0.18236940666666668</x:v>
      </x:c>
      <x:c r="Q287" s="38">
        <x:v>0</x:v>
      </x:c>
      <x:c r="R287" s="38">
        <x:v>0</x:v>
      </x:c>
      <x:c r="S287" s="38">
        <x:v>2</x:v>
      </x:c>
      <x:c r="T287" s="38">
        <x:v>0</x:v>
      </x:c>
      <x:c r="U287" s="38">
        <x:v>3</x:v>
      </x:c>
      <x:c r="V287" s="38" t="n">
        <x:f>IFERROR((Q287+R287+S287+T287+U287)/D287,0)</x:f>
        <x:v>0.016666666666666666</x:v>
      </x:c>
      <x:c r="W287" s="34">
        <x:v>3</x:v>
      </x:c>
      <x:c r="X287" s="36">
        <x:v>6000</x:v>
      </x:c>
      <x:c r="Y287" s="40">
        <x:v>11</x:v>
      </x:c>
      <x:c r="Z287" s="40">
        <x:v>25</x:v>
      </x:c>
      <x:c r="AA287" s="38" t="n">
        <x:f>IFERROR((W287*X287)/Y287/Z287/D287,0)</x:f>
        <x:v>0.21818181818181817</x:v>
      </x:c>
      <x:c r="AB287" s="41">
        <x:v>0.95</x:v>
      </x:c>
      <x:c r="AC287" s="38" t="n">
        <x:f>IFERROR((I287+P287+V287+AA287)/AB287,0)</x:f>
        <x:v>0.5561357922381712</x:v>
      </x:c>
    </x:row>
    <x:row r="288">
      <x:c r="A288" s="22" t="str">
        <x:v>PA30</x:v>
      </x:c>
      <x:c r="B288" s="22" t="s">
        <x:v>509</x:v>
      </x:c>
      <x:c r="C288" s="34">
        <x:v>12</x:v>
      </x:c>
      <x:c r="D288" s="34" t="n">
        <x:f>IFERROR(60*60/C288,0)</x:f>
        <x:v>300</x:v>
      </x:c>
      <x:c r="E288" s="22">
        <x:v>10</x:v>
      </x:c>
      <x:c r="F288" s="22">
        <x:v>22</x:v>
      </x:c>
      <x:c r="G288" s="22">
        <x:v>300</x:v>
      </x:c>
      <x:c r="H288" s="36">
        <x:v>2200000</x:v>
      </x:c>
      <x:c r="I288" s="38" t="n">
        <x:f>IFERROR(H288/E288/F288/G288/D288,0)</x:f>
        <x:v>0.11111111111111112</x:v>
      </x:c>
      <x:c r="J288" s="38">
        <x:v>0.62777055000000004</x:v>
      </x:c>
      <x:c r="K288" s="38">
        <x:v>40</x:v>
      </x:c>
      <x:c r="L288" s="38" t="n">
        <x:f>IFERROR(J288*K288/D288,0)</x:f>
        <x:v>0.08370274000000001</x:v>
      </x:c>
      <x:c r="M288" s="38">
        <x:v>3.7</x:v>
      </x:c>
      <x:c r="N288" s="38">
        <x:v>8</x:v>
      </x:c>
      <x:c r="O288" s="38" t="n">
        <x:f>IFERROR(N288*M288/D288,0)</x:f>
        <x:v>0.09866666666666667</x:v>
      </x:c>
      <x:c r="P288" s="38" t="n">
        <x:f>O288+L288</x:f>
        <x:v>0.18236940666666668</x:v>
      </x:c>
      <x:c r="Q288" s="38">
        <x:v>0</x:v>
      </x:c>
      <x:c r="R288" s="38">
        <x:v>0</x:v>
      </x:c>
      <x:c r="S288" s="38">
        <x:v>2</x:v>
      </x:c>
      <x:c r="T288" s="38">
        <x:v>0</x:v>
      </x:c>
      <x:c r="U288" s="38">
        <x:v>3</x:v>
      </x:c>
      <x:c r="V288" s="38" t="n">
        <x:f>IFERROR((Q288+R288+S288+T288+U288)/D288,0)</x:f>
        <x:v>0.016666666666666666</x:v>
      </x:c>
      <x:c r="W288" s="34">
        <x:v>3</x:v>
      </x:c>
      <x:c r="X288" s="36">
        <x:v>6000</x:v>
      </x:c>
      <x:c r="Y288" s="40">
        <x:v>11</x:v>
      </x:c>
      <x:c r="Z288" s="40">
        <x:v>25</x:v>
      </x:c>
      <x:c r="AA288" s="38" t="n">
        <x:f>IFERROR((W288*X288)/Y288/Z288/D288,0)</x:f>
        <x:v>0.21818181818181817</x:v>
      </x:c>
      <x:c r="AB288" s="41">
        <x:v>0.95</x:v>
      </x:c>
      <x:c r="AC288" s="38" t="n">
        <x:f>IFERROR((I288+P288+V288+AA288)/AB288,0)</x:f>
        <x:v>0.5561357922381712</x:v>
      </x:c>
    </x:row>
    <x:row r="289">
      <x:c r="A289" s="22" t="str">
        <x:v>PA40</x:v>
      </x:c>
      <x:c r="B289" s="22" t="s">
        <x:v>510</x:v>
      </x:c>
      <x:c r="C289" s="34">
        <x:v>18</x:v>
      </x:c>
      <x:c r="D289" s="34" t="n">
        <x:f>IFERROR(60*60/C289,0)</x:f>
        <x:v>200</x:v>
      </x:c>
      <x:c r="E289" s="22">
        <x:v>12</x:v>
      </x:c>
      <x:c r="F289" s="22">
        <x:v>22</x:v>
      </x:c>
      <x:c r="G289" s="22">
        <x:v>300</x:v>
      </x:c>
      <x:c r="H289" s="36">
        <x:v>12000000</x:v>
      </x:c>
      <x:c r="I289" s="38" t="n">
        <x:f>IFERROR(H289/E289/F289/G289/D289,0)</x:f>
        <x:v>0.7575757575757577</x:v>
      </x:c>
      <x:c r="J289" s="38">
        <x:v>0.62777055000000004</x:v>
      </x:c>
      <x:c r="K289" s="38">
        <x:v>260</x:v>
      </x:c>
      <x:c r="L289" s="38" t="n">
        <x:f>IFERROR(J289*K289/D289,0)</x:f>
        <x:v>0.8161017150000001</x:v>
      </x:c>
      <x:c r="M289" s="38">
        <x:v>3.7</x:v>
      </x:c>
      <x:c r="N289" s="38">
        <x:v>8</x:v>
      </x:c>
      <x:c r="O289" s="38" t="n">
        <x:f>IFERROR(N289*M289/D289,0)</x:f>
        <x:v>0.14800000000000002</x:v>
      </x:c>
      <x:c r="P289" s="38" t="n">
        <x:f>O289+L289</x:f>
        <x:v>0.9641017150000001</x:v>
      </x:c>
      <x:c r="Q289" s="38">
        <x:v>0</x:v>
      </x:c>
      <x:c r="R289" s="38">
        <x:v>0</x:v>
      </x:c>
      <x:c r="S289" s="38">
        <x:v>2</x:v>
      </x:c>
      <x:c r="T289" s="38">
        <x:v>0</x:v>
      </x:c>
      <x:c r="U289" s="38">
        <x:v>3</x:v>
      </x:c>
      <x:c r="V289" s="38" t="n">
        <x:f>IFERROR((Q289+R289+S289+T289+U289)/D289,0)</x:f>
        <x:v>0.025</x:v>
      </x:c>
      <x:c r="W289" s="34">
        <x:v>8</x:v>
      </x:c>
      <x:c r="X289" s="36">
        <x:v>6000</x:v>
      </x:c>
      <x:c r="Y289" s="40">
        <x:v>11</x:v>
      </x:c>
      <x:c r="Z289" s="40">
        <x:v>25</x:v>
      </x:c>
      <x:c r="AA289" s="38" t="n">
        <x:f>IFERROR((W289*X289)/Y289/Z289/D289,0)</x:f>
        <x:v>0.8727272727272728</x:v>
      </x:c>
      <x:c r="AB289" s="41">
        <x:v>0.92</x:v>
      </x:c>
      <x:c r="AC289" s="38" t="n">
        <x:f>IFERROR((I289+P289+V289+AA289)/AB289,0)</x:f>
        <x:v>2.8471790709815545</x:v>
      </x:c>
    </x:row>
    <x:row r="290">
      <x:c r="A290" s="22" t="str">
        <x:v>PA50</x:v>
      </x:c>
      <x:c r="B290" s="22" t="s">
        <x:v>511</x:v>
      </x:c>
      <x:c r="C290" s="34">
        <x:v>10</x:v>
      </x:c>
      <x:c r="D290" s="34" t="n">
        <x:f>IFERROR(60*60/C290,0)</x:f>
        <x:v>360</x:v>
      </x:c>
      <x:c r="E290" s="22">
        <x:v>10</x:v>
      </x:c>
      <x:c r="F290" s="22">
        <x:v>22</x:v>
      </x:c>
      <x:c r="G290" s="22">
        <x:v>300</x:v>
      </x:c>
      <x:c r="H290" s="36">
        <x:v>2600000</x:v>
      </x:c>
      <x:c r="I290" s="38" t="n">
        <x:f>IFERROR(H290/E290/F290/G290/D290,0)</x:f>
        <x:v>0.10942760942760942</x:v>
      </x:c>
      <x:c r="J290" s="38">
        <x:v>0.62777055000000004</x:v>
      </x:c>
      <x:c r="K290" s="38">
        <x:v>55</x:v>
      </x:c>
      <x:c r="L290" s="38" t="n">
        <x:f>IFERROR(J290*K290/D290,0)</x:f>
        <x:v>0.09590938958333334</x:v>
      </x:c>
      <x:c r="M290" s="38">
        <x:v>3.7</x:v>
      </x:c>
      <x:c r="N290" s="38">
        <x:v>8</x:v>
      </x:c>
      <x:c r="O290" s="38" t="n">
        <x:f>IFERROR(N290*M290/D290,0)</x:f>
        <x:v>0.08222222222222222</x:v>
      </x:c>
      <x:c r="P290" s="38" t="n">
        <x:f>O290+L290</x:f>
        <x:v>0.17813161180555556</x:v>
      </x:c>
      <x:c r="Q290" s="38">
        <x:v>0</x:v>
      </x:c>
      <x:c r="R290" s="38">
        <x:v>0</x:v>
      </x:c>
      <x:c r="S290" s="38">
        <x:v>2</x:v>
      </x:c>
      <x:c r="T290" s="38">
        <x:v>0</x:v>
      </x:c>
      <x:c r="U290" s="38">
        <x:v>3</x:v>
      </x:c>
      <x:c r="V290" s="38" t="n">
        <x:f>IFERROR((Q290+R290+S290+T290+U290)/D290,0)</x:f>
        <x:v>0.013888888888888888</x:v>
      </x:c>
      <x:c r="W290" s="34">
        <x:v>3</x:v>
      </x:c>
      <x:c r="X290" s="36">
        <x:v>6000</x:v>
      </x:c>
      <x:c r="Y290" s="40">
        <x:v>11</x:v>
      </x:c>
      <x:c r="Z290" s="40">
        <x:v>25</x:v>
      </x:c>
      <x:c r="AA290" s="38" t="n">
        <x:f>IFERROR((W290*X290)/Y290/Z290/D290,0)</x:f>
        <x:v>0.18181818181818182</x:v>
      </x:c>
      <x:c r="AB290" s="41">
        <x:v>0.94</x:v>
      </x:c>
      <x:c r="AC290" s="38" t="n">
        <x:f>IFERROR((I290+P290+V290+AA290)/AB290,0)</x:f>
        <x:v>0.5141130765321656</x:v>
      </x:c>
    </x:row>
    <x:row r="291">
      <x:c r="A291" s="22"/>
      <x:c r="B291" s="22"/>
      <x:c r="C291" s="34"/>
      <x:c r="D291" s="34"/>
      <x:c r="E291" s="22"/>
      <x:c r="F291" s="22"/>
      <x:c r="G291" s="22"/>
      <x:c r="H291" s="36"/>
      <x:c r="I291" s="38"/>
      <x:c r="J291" s="38"/>
      <x:c r="K291" s="38"/>
      <x:c r="L291" s="38"/>
      <x:c r="M291" s="38"/>
      <x:c r="N291" s="38"/>
      <x:c r="O291" s="38"/>
      <x:c r="P291" s="38"/>
      <x:c r="Q291" s="38"/>
      <x:c r="R291" s="38"/>
      <x:c r="S291" s="38"/>
      <x:c r="T291" s="38"/>
      <x:c r="U291" s="38"/>
      <x:c r="V291" s="38"/>
      <x:c r="W291" s="34"/>
      <x:c r="X291" s="36"/>
      <x:c r="Y291" s="40"/>
      <x:c r="Z291" s="40"/>
      <x:c r="AA291" s="38"/>
      <x:c r="AB291" s="41"/>
      <x:c r="AC291" s="38"/>
    </x:row>
    <x:row r="292">
      <x:c r="A292" s="22"/>
      <x:c r="B292" s="22"/>
      <x:c r="C292" s="34"/>
      <x:c r="D292" s="34"/>
      <x:c r="E292" s="22"/>
      <x:c r="F292" s="22"/>
      <x:c r="G292" s="22"/>
      <x:c r="H292" s="36"/>
      <x:c r="I292" s="38"/>
      <x:c r="J292" s="38"/>
      <x:c r="K292" s="38"/>
      <x:c r="L292" s="38"/>
      <x:c r="M292" s="38"/>
      <x:c r="N292" s="38"/>
      <x:c r="O292" s="38"/>
      <x:c r="P292" s="38"/>
      <x:c r="Q292" s="38"/>
      <x:c r="R292" s="38"/>
      <x:c r="S292" s="38"/>
      <x:c r="T292" s="38"/>
      <x:c r="U292" s="38"/>
      <x:c r="V292" s="38"/>
      <x:c r="W292" s="34"/>
      <x:c r="X292" s="36"/>
      <x:c r="Y292" s="40"/>
      <x:c r="Z292" s="40"/>
      <x:c r="AA292" s="38"/>
      <x:c r="AB292" s="41"/>
      <x:c r="AC292" s="38"/>
    </x:row>
    <x:row r="293">
      <x:c r="A293" s="43" t="str">
        <x:v>锻造工艺</x:v>
      </x:c>
      <x:c r="B293" s="43"/>
      <x:c r="C293" s="44"/>
      <x:c r="D293" s="44"/>
      <x:c r="E293" s="43"/>
      <x:c r="F293" s="43"/>
      <x:c r="G293" s="43"/>
      <x:c r="H293" s="45"/>
      <x:c r="I293" s="46"/>
      <x:c r="J293" s="46"/>
      <x:c r="K293" s="46"/>
      <x:c r="L293" s="46"/>
      <x:c r="M293" s="46"/>
      <x:c r="N293" s="46"/>
      <x:c r="O293" s="46"/>
      <x:c r="P293" s="46"/>
      <x:c r="Q293" s="46"/>
      <x:c r="R293" s="46"/>
      <x:c r="S293" s="46"/>
      <x:c r="T293" s="46"/>
      <x:c r="U293" s="46"/>
      <x:c r="V293" s="46"/>
      <x:c r="W293" s="44"/>
      <x:c r="X293" s="45"/>
      <x:c r="Y293" s="47"/>
      <x:c r="Z293" s="47"/>
      <x:c r="AA293" s="46"/>
      <x:c r="AB293" s="48"/>
      <x:c r="AC293" s="46"/>
    </x:row>
    <x:row r="294">
      <x:c r="A294" s="22" t="str">
        <x:v>FO10</x:v>
      </x:c>
      <x:c r="B294" s="22" t="s">
        <x:v>512</x:v>
      </x:c>
      <x:c r="C294" s="34">
        <x:v>2</x:v>
      </x:c>
      <x:c r="D294" s="34" t="n">
        <x:f>IFERROR(60*60/C294,0)</x:f>
        <x:v>1800</x:v>
      </x:c>
      <x:c r="E294" s="22">
        <x:v>12</x:v>
      </x:c>
      <x:c r="F294" s="22">
        <x:v>22</x:v>
      </x:c>
      <x:c r="G294" s="22">
        <x:v>300</x:v>
      </x:c>
      <x:c r="H294" s="36">
        <x:v>1200000</x:v>
      </x:c>
      <x:c r="I294" s="38" t="n">
        <x:f>IFERROR(H294/E294/F294/G294/D294,0)</x:f>
        <x:v>0.008417508417508417</x:v>
      </x:c>
      <x:c r="J294" s="38">
        <x:v>0.62777055000000004</x:v>
      </x:c>
      <x:c r="K294" s="38">
        <x:v>35</x:v>
      </x:c>
      <x:c r="L294" s="38" t="n">
        <x:f>IFERROR(J294*K294/D294,0)</x:f>
        <x:v>0.012206649583333333</x:v>
      </x:c>
      <x:c r="M294" s="38">
        <x:v>3.7</x:v>
      </x:c>
      <x:c r="N294" s="38">
        <x:v>5</x:v>
      </x:c>
      <x:c r="O294" s="38" t="n">
        <x:f>IFERROR(N294*M294/D294,0)</x:f>
        <x:v>0.010277777777777778</x:v>
      </x:c>
      <x:c r="P294" s="38" t="n">
        <x:f>O294+L294</x:f>
        <x:v>0.02248442736111111</x:v>
      </x:c>
      <x:c r="Q294" s="38">
        <x:v>2</x:v>
      </x:c>
      <x:c r="R294" s="38">
        <x:v>0</x:v>
      </x:c>
      <x:c r="S294" s="38">
        <x:v>0</x:v>
      </x:c>
      <x:c r="T294" s="38">
        <x:v>5</x:v>
      </x:c>
      <x:c r="U294" s="38">
        <x:v>1</x:v>
      </x:c>
      <x:c r="V294" s="38" t="n">
        <x:f>IFERROR((Q294+R294+S294+T294+U294)/D294,0)</x:f>
        <x:v>0.0044444444444444444</x:v>
      </x:c>
      <x:c r="W294" s="34">
        <x:v>2</x:v>
      </x:c>
      <x:c r="X294" s="36">
        <x:v>6000</x:v>
      </x:c>
      <x:c r="Y294" s="40">
        <x:v>11</x:v>
      </x:c>
      <x:c r="Z294" s="40">
        <x:v>25</x:v>
      </x:c>
      <x:c r="AA294" s="38" t="n">
        <x:f>IFERROR((W294*X294)/Y294/Z294/D294,0)</x:f>
        <x:v>0.024242424242424246</x:v>
      </x:c>
      <x:c r="AB294" s="41">
        <x:v>0.97</x:v>
      </x:c>
      <x:c r="AC294" s="38" t="n">
        <x:f>IFERROR((I294+P294+V294+AA294)/AB294,0)</x:f>
        <x:v>0.06143175718091569</x:v>
      </x:c>
    </x:row>
    <x:row r="295">
      <x:c r="A295" s="22" t="str">
        <x:v>FO20</x:v>
      </x:c>
      <x:c r="B295" s="22" t="s">
        <x:v>513</x:v>
      </x:c>
      <x:c r="C295" s="34">
        <x:v>8</x:v>
      </x:c>
      <x:c r="D295" s="34" t="n">
        <x:f>IFERROR(60*60/C295,0)</x:f>
        <x:v>450</x:v>
      </x:c>
      <x:c r="E295" s="22">
        <x:v>12</x:v>
      </x:c>
      <x:c r="F295" s="22">
        <x:v>22</x:v>
      </x:c>
      <x:c r="G295" s="22">
        <x:v>300</x:v>
      </x:c>
      <x:c r="H295" s="36">
        <x:v>2500000</x:v>
      </x:c>
      <x:c r="I295" s="38" t="n">
        <x:f>IFERROR(H295/E295/F295/G295/D295,0)</x:f>
        <x:v>0.07014590347923681</x:v>
      </x:c>
      <x:c r="J295" s="38">
        <x:v>0.62777055000000004</x:v>
      </x:c>
      <x:c r="K295" s="38">
        <x:v>80</x:v>
      </x:c>
      <x:c r="L295" s="38" t="n">
        <x:f>IFERROR(J295*K295/D295,0)</x:f>
        <x:v>0.11160365333333334</x:v>
      </x:c>
      <x:c r="M295" s="38">
        <x:v>3.7</x:v>
      </x:c>
      <x:c r="N295" s="38">
        <x:v>5</x:v>
      </x:c>
      <x:c r="O295" s="38" t="n">
        <x:f>IFERROR(N295*M295/D295,0)</x:f>
        <x:v>0.04111111111111111</x:v>
      </x:c>
      <x:c r="P295" s="38" t="n">
        <x:f>O295+L295</x:f>
        <x:v>0.15271476444444446</x:v>
      </x:c>
      <x:c r="Q295" s="38">
        <x:v>2</x:v>
      </x:c>
      <x:c r="R295" s="38">
        <x:v>0</x:v>
      </x:c>
      <x:c r="S295" s="38">
        <x:v>0</x:v>
      </x:c>
      <x:c r="T295" s="38">
        <x:v>5</x:v>
      </x:c>
      <x:c r="U295" s="38">
        <x:v>1</x:v>
      </x:c>
      <x:c r="V295" s="38" t="n">
        <x:f>IFERROR((Q295+R295+S295+T295+U295)/D295,0)</x:f>
        <x:v>0.017777777777777778</x:v>
      </x:c>
      <x:c r="W295" s="34">
        <x:v>3</x:v>
      </x:c>
      <x:c r="X295" s="36">
        <x:v>6000</x:v>
      </x:c>
      <x:c r="Y295" s="40">
        <x:v>11</x:v>
      </x:c>
      <x:c r="Z295" s="40">
        <x:v>25</x:v>
      </x:c>
      <x:c r="AA295" s="38" t="n">
        <x:f>IFERROR((W295*X295)/Y295/Z295/D295,0)</x:f>
        <x:v>0.14545454545454545</x:v>
      </x:c>
      <x:c r="AB295" s="41">
        <x:v>0.95</x:v>
      </x:c>
      <x:c r="AC295" s="38" t="n">
        <x:f>IFERROR((I295+P295+V295+AA295)/AB295,0)</x:f>
        <x:v>0.4064136749010574</x:v>
      </x:c>
    </x:row>
    <x:row r="296">
      <x:c r="A296" s="22" t="str">
        <x:v>FO30</x:v>
      </x:c>
      <x:c r="B296" s="22" t="s">
        <x:v>514</x:v>
      </x:c>
      <x:c r="C296" s="34">
        <x:v>12</x:v>
      </x:c>
      <x:c r="D296" s="34" t="n">
        <x:f>IFERROR(60*60/C296,0)</x:f>
        <x:v>300</x:v>
      </x:c>
      <x:c r="E296" s="22">
        <x:v>12</x:v>
      </x:c>
      <x:c r="F296" s="22">
        <x:v>22</x:v>
      </x:c>
      <x:c r="G296" s="22">
        <x:v>300</x:v>
      </x:c>
      <x:c r="H296" s="36">
        <x:v>3500000</x:v>
      </x:c>
      <x:c r="I296" s="38" t="n">
        <x:f>IFERROR(H296/E296/F296/G296/D296,0)</x:f>
        <x:v>0.1473063973063973</x:v>
      </x:c>
      <x:c r="J296" s="38">
        <x:v>0.62777055000000004</x:v>
      </x:c>
      <x:c r="K296" s="38">
        <x:v>120</x:v>
      </x:c>
      <x:c r="L296" s="38" t="n">
        <x:f>IFERROR(J296*K296/D296,0)</x:f>
        <x:v>0.25110822000000005</x:v>
      </x:c>
      <x:c r="M296" s="38">
        <x:v>3.7</x:v>
      </x:c>
      <x:c r="N296" s="38">
        <x:v>5</x:v>
      </x:c>
      <x:c r="O296" s="38" t="n">
        <x:f>IFERROR(N296*M296/D296,0)</x:f>
        <x:v>0.06166666666666667</x:v>
      </x:c>
      <x:c r="P296" s="38" t="n">
        <x:f>O296+L296</x:f>
        <x:v>0.3127748866666667</x:v>
      </x:c>
      <x:c r="Q296" s="38">
        <x:v>2</x:v>
      </x:c>
      <x:c r="R296" s="38">
        <x:v>0</x:v>
      </x:c>
      <x:c r="S296" s="38">
        <x:v>0</x:v>
      </x:c>
      <x:c r="T296" s="38">
        <x:v>5</x:v>
      </x:c>
      <x:c r="U296" s="38">
        <x:v>1</x:v>
      </x:c>
      <x:c r="V296" s="38" t="n">
        <x:f>IFERROR((Q296+R296+S296+T296+U296)/D296,0)</x:f>
        <x:v>0.02666666666666667</x:v>
      </x:c>
      <x:c r="W296" s="34">
        <x:v>4</x:v>
      </x:c>
      <x:c r="X296" s="36">
        <x:v>6000</x:v>
      </x:c>
      <x:c r="Y296" s="40">
        <x:v>11</x:v>
      </x:c>
      <x:c r="Z296" s="40">
        <x:v>25</x:v>
      </x:c>
      <x:c r="AA296" s="38" t="n">
        <x:f>IFERROR((W296*X296)/Y296/Z296/D296,0)</x:f>
        <x:v>0.29090909090909095</x:v>
      </x:c>
      <x:c r="AB296" s="41">
        <x:v>0.94</x:v>
      </x:c>
      <x:c r="AC296" s="38" t="n">
        <x:f>IFERROR((I296+P296+V296+AA296)/AB296,0)</x:f>
        <x:v>0.827294725051938</x:v>
      </x:c>
    </x:row>
    <x:row r="297">
      <x:c r="A297" s="22" t="str">
        <x:v>FO40</x:v>
      </x:c>
      <x:c r="B297" s="22" t="s">
        <x:v>515</x:v>
      </x:c>
      <x:c r="C297" s="34">
        <x:v>6</x:v>
      </x:c>
      <x:c r="D297" s="34" t="n">
        <x:f>IFERROR(60*60/C297,0)</x:f>
        <x:v>600</x:v>
      </x:c>
      <x:c r="E297" s="22">
        <x:v>10</x:v>
      </x:c>
      <x:c r="F297" s="22">
        <x:v>22</x:v>
      </x:c>
      <x:c r="G297" s="22">
        <x:v>300</x:v>
      </x:c>
      <x:c r="H297" s="36">
        <x:v>650000</x:v>
      </x:c>
      <x:c r="I297" s="38" t="n">
        <x:f>IFERROR(H297/E297/F297/G297/D297,0)</x:f>
        <x:v>0.016414141414141412</x:v>
      </x:c>
      <x:c r="J297" s="38">
        <x:v>0.62777055000000004</x:v>
      </x:c>
      <x:c r="K297" s="38">
        <x:v>20</x:v>
      </x:c>
      <x:c r="L297" s="38" t="n">
        <x:f>IFERROR(J297*K297/D297,0)</x:f>
        <x:v>0.020925685000000003</x:v>
      </x:c>
      <x:c r="M297" s="38">
        <x:v>3.7</x:v>
      </x:c>
      <x:c r="N297" s="38">
        <x:v>5</x:v>
      </x:c>
      <x:c r="O297" s="38" t="n">
        <x:f>IFERROR(N297*M297/D297,0)</x:f>
        <x:v>0.030833333333333334</x:v>
      </x:c>
      <x:c r="P297" s="38" t="n">
        <x:f>O297+L297</x:f>
        <x:v>0.05175901833333334</x:v>
      </x:c>
      <x:c r="Q297" s="38">
        <x:v>2</x:v>
      </x:c>
      <x:c r="R297" s="38">
        <x:v>0</x:v>
      </x:c>
      <x:c r="S297" s="38">
        <x:v>0</x:v>
      </x:c>
      <x:c r="T297" s="38">
        <x:v>5</x:v>
      </x:c>
      <x:c r="U297" s="38">
        <x:v>1</x:v>
      </x:c>
      <x:c r="V297" s="38" t="n">
        <x:f>IFERROR((Q297+R297+S297+T297+U297)/D297,0)</x:f>
        <x:v>0.013333333333333334</x:v>
      </x:c>
      <x:c r="W297" s="34">
        <x:v>1</x:v>
      </x:c>
      <x:c r="X297" s="36">
        <x:v>6000</x:v>
      </x:c>
      <x:c r="Y297" s="40">
        <x:v>11</x:v>
      </x:c>
      <x:c r="Z297" s="40">
        <x:v>25</x:v>
      </x:c>
      <x:c r="AA297" s="38" t="n">
        <x:f>IFERROR((W297*X297)/Y297/Z297/D297,0)</x:f>
        <x:v>0.03636363636363637</x:v>
      </x:c>
      <x:c r="AB297" s="41">
        <x:v>0.98</x:v>
      </x:c>
      <x:c r="AC297" s="38" t="n">
        <x:f>IFERROR((I297+P297+V297+AA297)/AB297,0)</x:f>
        <x:v>0.12027564229024944</x:v>
      </x:c>
    </x:row>
    <x:row r="298">
      <x:c r="A298" s="22"/>
      <x:c r="B298" s="22"/>
      <x:c r="C298" s="34"/>
      <x:c r="D298" s="34"/>
      <x:c r="E298" s="22"/>
      <x:c r="F298" s="22"/>
      <x:c r="G298" s="22"/>
      <x:c r="H298" s="36"/>
      <x:c r="I298" s="38"/>
      <x:c r="J298" s="38"/>
      <x:c r="K298" s="38"/>
      <x:c r="L298" s="38"/>
      <x:c r="M298" s="38"/>
      <x:c r="N298" s="38"/>
      <x:c r="O298" s="38"/>
      <x:c r="P298" s="38"/>
      <x:c r="Q298" s="38"/>
      <x:c r="R298" s="38"/>
      <x:c r="S298" s="38"/>
      <x:c r="T298" s="38"/>
      <x:c r="U298" s="38"/>
      <x:c r="V298" s="38"/>
      <x:c r="W298" s="34"/>
      <x:c r="X298" s="36"/>
      <x:c r="Y298" s="40"/>
      <x:c r="Z298" s="40"/>
      <x:c r="AA298" s="38"/>
      <x:c r="AB298" s="41"/>
      <x:c r="AC298" s="38"/>
    </x:row>
    <x:row r="299">
      <x:c r="A299" s="22"/>
      <x:c r="B299" s="22"/>
      <x:c r="C299" s="34"/>
      <x:c r="D299" s="34"/>
      <x:c r="E299" s="22"/>
      <x:c r="F299" s="22"/>
      <x:c r="G299" s="22"/>
      <x:c r="H299" s="36"/>
      <x:c r="I299" s="38"/>
      <x:c r="J299" s="38"/>
      <x:c r="K299" s="38"/>
      <x:c r="L299" s="38"/>
      <x:c r="M299" s="38"/>
      <x:c r="N299" s="38"/>
      <x:c r="O299" s="38"/>
      <x:c r="P299" s="38"/>
      <x:c r="Q299" s="38"/>
      <x:c r="R299" s="38"/>
      <x:c r="S299" s="38"/>
      <x:c r="T299" s="38"/>
      <x:c r="U299" s="38"/>
      <x:c r="V299" s="38"/>
      <x:c r="W299" s="34"/>
      <x:c r="X299" s="36"/>
      <x:c r="Y299" s="40"/>
      <x:c r="Z299" s="40"/>
      <x:c r="AA299" s="38"/>
      <x:c r="AB299" s="41"/>
      <x:c r="AC299" s="38"/>
    </x:row>
    <x:row r="300">
      <x:c r="A300" s="22"/>
      <x:c r="B300" s="22"/>
      <x:c r="C300" s="34"/>
      <x:c r="D300" s="34"/>
      <x:c r="E300" s="22"/>
      <x:c r="F300" s="22"/>
      <x:c r="G300" s="22"/>
      <x:c r="H300" s="36"/>
      <x:c r="I300" s="38"/>
      <x:c r="J300" s="38"/>
      <x:c r="K300" s="38"/>
      <x:c r="L300" s="38"/>
      <x:c r="M300" s="38"/>
      <x:c r="N300" s="38"/>
      <x:c r="O300" s="38"/>
      <x:c r="P300" s="38"/>
      <x:c r="Q300" s="38"/>
      <x:c r="R300" s="38"/>
      <x:c r="S300" s="38"/>
      <x:c r="T300" s="38"/>
      <x:c r="U300" s="38"/>
      <x:c r="V300" s="38"/>
      <x:c r="W300" s="34"/>
      <x:c r="X300" s="36"/>
      <x:c r="Y300" s="40"/>
      <x:c r="Z300" s="40"/>
      <x:c r="AA300" s="38"/>
      <x:c r="AB300" s="41"/>
      <x:c r="AC300" s="38"/>
    </x:row>
    <x:row r="301">
      <x:c r="A301" s="22"/>
      <x:c r="B301" s="22"/>
      <x:c r="C301" s="34"/>
      <x:c r="D301" s="34"/>
      <x:c r="E301" s="22"/>
      <x:c r="F301" s="22"/>
      <x:c r="G301" s="22"/>
      <x:c r="H301" s="36"/>
      <x:c r="I301" s="38"/>
      <x:c r="J301" s="38"/>
      <x:c r="K301" s="38"/>
      <x:c r="L301" s="38"/>
      <x:c r="M301" s="38"/>
      <x:c r="N301" s="38"/>
      <x:c r="O301" s="38"/>
      <x:c r="P301" s="38"/>
      <x:c r="Q301" s="38"/>
      <x:c r="R301" s="38"/>
      <x:c r="S301" s="38"/>
      <x:c r="T301" s="38"/>
      <x:c r="U301" s="38"/>
      <x:c r="V301" s="38"/>
      <x:c r="W301" s="34"/>
      <x:c r="X301" s="36"/>
      <x:c r="Y301" s="40"/>
      <x:c r="Z301" s="40"/>
      <x:c r="AA301" s="38"/>
      <x:c r="AB301" s="41"/>
      <x:c r="AC301" s="38"/>
    </x:row>
    <x:row r="302">
      <x:c r="A302" s="43" t="str">
        <x:v>电泳工艺</x:v>
      </x:c>
      <x:c r="B302" s="43"/>
      <x:c r="C302" s="44"/>
      <x:c r="D302" s="44"/>
      <x:c r="E302" s="43"/>
      <x:c r="F302" s="43"/>
      <x:c r="G302" s="43"/>
      <x:c r="H302" s="45"/>
      <x:c r="I302" s="46"/>
      <x:c r="J302" s="46"/>
      <x:c r="K302" s="46"/>
      <x:c r="L302" s="46"/>
      <x:c r="M302" s="46"/>
      <x:c r="N302" s="46"/>
      <x:c r="O302" s="46"/>
      <x:c r="P302" s="46"/>
      <x:c r="Q302" s="46"/>
      <x:c r="R302" s="46"/>
      <x:c r="S302" s="46"/>
      <x:c r="T302" s="46"/>
      <x:c r="U302" s="46"/>
      <x:c r="V302" s="46"/>
      <x:c r="W302" s="44"/>
      <x:c r="X302" s="45"/>
      <x:c r="Y302" s="47"/>
      <x:c r="Z302" s="47"/>
      <x:c r="AA302" s="46"/>
      <x:c r="AB302" s="48"/>
      <x:c r="AC302" s="46"/>
    </x:row>
    <x:row r="303">
      <x:c r="A303" s="22" t="str">
        <x:v>ED10</x:v>
      </x:c>
      <x:c r="B303" s="22" t="s">
        <x:v>516</x:v>
      </x:c>
      <x:c r="C303" s="34">
        <x:v>6</x:v>
      </x:c>
      <x:c r="D303" s="34" t="n">
        <x:f>IFERROR(60*60/C303,0)</x:f>
        <x:v>600</x:v>
      </x:c>
      <x:c r="E303" s="22">
        <x:v>12</x:v>
      </x:c>
      <x:c r="F303" s="22">
        <x:v>22</x:v>
      </x:c>
      <x:c r="G303" s="22">
        <x:v>300</x:v>
      </x:c>
      <x:c r="H303" s="36">
        <x:v>3500000</x:v>
      </x:c>
      <x:c r="I303" s="38" t="n">
        <x:f>IFERROR(H303/E303/F303/G303/D303,0)</x:f>
        <x:v>0.07365319865319865</x:v>
      </x:c>
      <x:c r="J303" s="38">
        <x:v>0.62777055000000004</x:v>
      </x:c>
      <x:c r="K303" s="38">
        <x:v>70</x:v>
      </x:c>
      <x:c r="L303" s="38" t="n">
        <x:f>IFERROR(J303*K303/D303,0)</x:f>
        <x:v>0.0732398975</x:v>
      </x:c>
      <x:c r="M303" s="38">
        <x:v>3.7</x:v>
      </x:c>
      <x:c r="N303" s="38">
        <x:v>10</x:v>
      </x:c>
      <x:c r="O303" s="38" t="n">
        <x:f>IFERROR(N303*M303/D303,0)</x:f>
        <x:v>0.06166666666666667</x:v>
      </x:c>
      <x:c r="P303" s="38" t="n">
        <x:f>O303+L303</x:f>
        <x:v>0.13490656416666666</x:v>
      </x:c>
      <x:c r="Q303" s="38">
        <x:v>0</x:v>
      </x:c>
      <x:c r="R303" s="38">
        <x:v>0</x:v>
      </x:c>
      <x:c r="S303" s="38">
        <x:v>8</x:v>
      </x:c>
      <x:c r="T303" s="38">
        <x:v>0</x:v>
      </x:c>
      <x:c r="U303" s="38">
        <x:v>2</x:v>
      </x:c>
      <x:c r="V303" s="38" t="n">
        <x:f>IFERROR((Q303+R303+S303+T303+U303)/D303,0)</x:f>
        <x:v>0.016666666666666666</x:v>
      </x:c>
      <x:c r="W303" s="34">
        <x:v>5</x:v>
      </x:c>
      <x:c r="X303" s="36">
        <x:v>6000</x:v>
      </x:c>
      <x:c r="Y303" s="40">
        <x:v>11</x:v>
      </x:c>
      <x:c r="Z303" s="40">
        <x:v>25</x:v>
      </x:c>
      <x:c r="AA303" s="38" t="n">
        <x:f>IFERROR((W303*X303)/Y303/Z303/D303,0)</x:f>
        <x:v>0.18181818181818182</x:v>
      </x:c>
      <x:c r="AB303" s="41">
        <x:v>0.96</x:v>
      </x:c>
      <x:c r="AC303" s="38" t="n">
        <x:f>IFERROR((I303+P303+V303+AA303)/AB303,0)</x:f>
        <x:v>0.42400480344241026</x:v>
      </x:c>
    </x:row>
    <x:row r="304">
      <x:c r="A304" s="22" t="str">
        <x:v>ED20</x:v>
      </x:c>
      <x:c r="B304" s="22" t="s">
        <x:v>517</x:v>
      </x:c>
      <x:c r="C304" s="34">
        <x:v>8</x:v>
      </x:c>
      <x:c r="D304" s="34" t="n">
        <x:f>IFERROR(60*60/C304,0)</x:f>
        <x:v>450</x:v>
      </x:c>
      <x:c r="E304" s="22">
        <x:v>12</x:v>
      </x:c>
      <x:c r="F304" s="22">
        <x:v>22</x:v>
      </x:c>
      <x:c r="G304" s="22">
        <x:v>300</x:v>
      </x:c>
      <x:c r="H304" s="36">
        <x:v>6000000</x:v>
      </x:c>
      <x:c r="I304" s="38" t="n">
        <x:f>IFERROR(H304/E304/F304/G304/D304,0)</x:f>
        <x:v>0.16835016835016836</x:v>
      </x:c>
      <x:c r="J304" s="38">
        <x:v>0.62777055000000004</x:v>
      </x:c>
      <x:c r="K304" s="38">
        <x:v>180</x:v>
      </x:c>
      <x:c r="L304" s="38" t="n">
        <x:f>IFERROR(J304*K304/D304,0)</x:f>
        <x:v>0.25110822</x:v>
      </x:c>
      <x:c r="M304" s="38">
        <x:v>3.7</x:v>
      </x:c>
      <x:c r="N304" s="38">
        <x:v>10</x:v>
      </x:c>
      <x:c r="O304" s="38" t="n">
        <x:f>IFERROR(N304*M304/D304,0)</x:f>
        <x:v>0.08222222222222222</x:v>
      </x:c>
      <x:c r="P304" s="38" t="n">
        <x:f>O304+L304</x:f>
        <x:v>0.3333304422222222</x:v>
      </x:c>
      <x:c r="Q304" s="38">
        <x:v>0</x:v>
      </x:c>
      <x:c r="R304" s="38">
        <x:v>0</x:v>
      </x:c>
      <x:c r="S304" s="38">
        <x:v>8</x:v>
      </x:c>
      <x:c r="T304" s="38">
        <x:v>0</x:v>
      </x:c>
      <x:c r="U304" s="38">
        <x:v>2</x:v>
      </x:c>
      <x:c r="V304" s="38" t="n">
        <x:f>IFERROR((Q304+R304+S304+T304+U304)/D304,0)</x:f>
        <x:v>0.022222222222222223</x:v>
      </x:c>
      <x:c r="W304" s="34">
        <x:v>6</x:v>
      </x:c>
      <x:c r="X304" s="36">
        <x:v>6000</x:v>
      </x:c>
      <x:c r="Y304" s="40">
        <x:v>11</x:v>
      </x:c>
      <x:c r="Z304" s="40">
        <x:v>25</x:v>
      </x:c>
      <x:c r="AA304" s="38" t="n">
        <x:f>IFERROR((W304*X304)/Y304/Z304/D304,0)</x:f>
        <x:v>0.2909090909090909</x:v>
      </x:c>
      <x:c r="AB304" s="41">
        <x:v>0.95</x:v>
      </x:c>
      <x:c r="AC304" s="38" t="n">
        <x:f>IFERROR((I304+P304+V304+AA304)/AB304,0)</x:f>
        <x:v>0.8576967617933724</x:v>
      </x:c>
    </x:row>
    <x:row r="305">
      <x:c r="A305" s="22" t="str">
        <x:v>ED30</x:v>
      </x:c>
      <x:c r="B305" s="22" t="s">
        <x:v>518</x:v>
      </x:c>
      <x:c r="C305" s="34">
        <x:v>10</x:v>
      </x:c>
      <x:c r="D305" s="34" t="n">
        <x:f>IFERROR(60*60/C305,0)</x:f>
        <x:v>360</x:v>
      </x:c>
      <x:c r="E305" s="22">
        <x:v>12</x:v>
      </x:c>
      <x:c r="F305" s="22">
        <x:v>22</x:v>
      </x:c>
      <x:c r="G305" s="22">
        <x:v>300</x:v>
      </x:c>
      <x:c r="H305" s="36">
        <x:v>9500000</x:v>
      </x:c>
      <x:c r="I305" s="38" t="n">
        <x:f>IFERROR(H305/E305/F305/G305/D305,0)</x:f>
        <x:v>0.3331930415263748</x:v>
      </x:c>
      <x:c r="J305" s="38">
        <x:v>0.62777055000000004</x:v>
      </x:c>
      <x:c r="K305" s="38">
        <x:v>260</x:v>
      </x:c>
      <x:c r="L305" s="38" t="n">
        <x:f>IFERROR(J305*K305/D305,0)</x:f>
        <x:v>0.4533898416666667</x:v>
      </x:c>
      <x:c r="M305" s="38">
        <x:v>3.7</x:v>
      </x:c>
      <x:c r="N305" s="38">
        <x:v>10</x:v>
      </x:c>
      <x:c r="O305" s="38" t="n">
        <x:f>IFERROR(N305*M305/D305,0)</x:f>
        <x:v>0.10277777777777777</x:v>
      </x:c>
      <x:c r="P305" s="38" t="n">
        <x:f>O305+L305</x:f>
        <x:v>0.5561676194444445</x:v>
      </x:c>
      <x:c r="Q305" s="38">
        <x:v>0</x:v>
      </x:c>
      <x:c r="R305" s="38">
        <x:v>0</x:v>
      </x:c>
      <x:c r="S305" s="38">
        <x:v>8</x:v>
      </x:c>
      <x:c r="T305" s="38">
        <x:v>0</x:v>
      </x:c>
      <x:c r="U305" s="38">
        <x:v>2</x:v>
      </x:c>
      <x:c r="V305" s="38" t="n">
        <x:f>IFERROR((Q305+R305+S305+T305+U305)/D305,0)</x:f>
        <x:v>0.027777777777777776</x:v>
      </x:c>
      <x:c r="W305" s="34">
        <x:v>8</x:v>
      </x:c>
      <x:c r="X305" s="36">
        <x:v>6000</x:v>
      </x:c>
      <x:c r="Y305" s="40">
        <x:v>11</x:v>
      </x:c>
      <x:c r="Z305" s="40">
        <x:v>25</x:v>
      </x:c>
      <x:c r="AA305" s="38" t="n">
        <x:f>IFERROR((W305*X305)/Y305/Z305/D305,0)</x:f>
        <x:v>0.4848484848484849</x:v>
      </x:c>
      <x:c r="AB305" s="41">
        <x:v>0.93</x:v>
      </x:c>
      <x:c r="AC305" s="38" t="n">
        <x:f>IFERROR((I305+P305+V305+AA305)/AB305,0)</x:f>
        <x:v>1.5075128210721311</x:v>
      </x:c>
    </x:row>
    <x:row r="306">
      <x:c r="A306" s="22"/>
      <x:c r="B306" s="22"/>
      <x:c r="C306" s="34"/>
      <x:c r="D306" s="34"/>
      <x:c r="E306" s="22"/>
      <x:c r="F306" s="22"/>
      <x:c r="G306" s="22"/>
      <x:c r="H306" s="36"/>
      <x:c r="I306" s="38"/>
      <x:c r="J306" s="38"/>
      <x:c r="K306" s="38"/>
      <x:c r="L306" s="38"/>
      <x:c r="M306" s="38"/>
      <x:c r="N306" s="38"/>
      <x:c r="O306" s="38"/>
      <x:c r="P306" s="38"/>
      <x:c r="Q306" s="38"/>
      <x:c r="R306" s="38"/>
      <x:c r="S306" s="38"/>
      <x:c r="T306" s="38"/>
      <x:c r="U306" s="38"/>
      <x:c r="V306" s="38"/>
      <x:c r="W306" s="34"/>
      <x:c r="X306" s="36"/>
      <x:c r="Y306" s="40"/>
      <x:c r="Z306" s="40"/>
      <x:c r="AA306" s="38"/>
      <x:c r="AB306" s="41"/>
      <x:c r="AC306" s="38"/>
    </x:row>
    <x:row r="307">
      <x:c r="A307" s="22"/>
      <x:c r="B307" s="22"/>
      <x:c r="C307" s="34"/>
      <x:c r="D307" s="34"/>
      <x:c r="E307" s="22"/>
      <x:c r="F307" s="22"/>
      <x:c r="G307" s="22"/>
      <x:c r="H307" s="36"/>
      <x:c r="I307" s="38"/>
      <x:c r="J307" s="38"/>
      <x:c r="K307" s="38"/>
      <x:c r="L307" s="38"/>
      <x:c r="M307" s="38"/>
      <x:c r="N307" s="38"/>
      <x:c r="O307" s="38"/>
      <x:c r="P307" s="38"/>
      <x:c r="Q307" s="38"/>
      <x:c r="R307" s="38"/>
      <x:c r="S307" s="38"/>
      <x:c r="T307" s="38"/>
      <x:c r="U307" s="38"/>
      <x:c r="V307" s="38"/>
      <x:c r="W307" s="34"/>
      <x:c r="X307" s="36"/>
      <x:c r="Y307" s="40"/>
      <x:c r="Z307" s="40"/>
      <x:c r="AA307" s="38"/>
      <x:c r="AB307" s="41"/>
      <x:c r="AC307" s="38"/>
    </x:row>
    <x:row r="308">
      <x:c r="A308" s="22"/>
      <x:c r="B308" s="22"/>
      <x:c r="C308" s="34"/>
      <x:c r="D308" s="34"/>
      <x:c r="E308" s="22"/>
      <x:c r="F308" s="22"/>
      <x:c r="G308" s="22"/>
      <x:c r="H308" s="36"/>
      <x:c r="I308" s="38"/>
      <x:c r="J308" s="38"/>
      <x:c r="K308" s="38"/>
      <x:c r="L308" s="38"/>
      <x:c r="M308" s="38"/>
      <x:c r="N308" s="38"/>
      <x:c r="O308" s="38"/>
      <x:c r="P308" s="38"/>
      <x:c r="Q308" s="38"/>
      <x:c r="R308" s="38"/>
      <x:c r="S308" s="38"/>
      <x:c r="T308" s="38"/>
      <x:c r="U308" s="38"/>
      <x:c r="V308" s="38"/>
      <x:c r="W308" s="34"/>
      <x:c r="X308" s="36"/>
      <x:c r="Y308" s="40"/>
      <x:c r="Z308" s="40"/>
      <x:c r="AA308" s="38"/>
      <x:c r="AB308" s="41"/>
      <x:c r="AC308" s="38"/>
    </x:row>
    <x:row r="309">
      <x:c r="A309" s="22"/>
      <x:c r="B309" s="22"/>
      <x:c r="C309" s="34"/>
      <x:c r="D309" s="34"/>
      <x:c r="E309" s="22"/>
      <x:c r="F309" s="22"/>
      <x:c r="G309" s="22"/>
      <x:c r="H309" s="36"/>
      <x:c r="I309" s="38"/>
      <x:c r="J309" s="38"/>
      <x:c r="K309" s="38"/>
      <x:c r="L309" s="38"/>
      <x:c r="M309" s="38"/>
      <x:c r="N309" s="38"/>
      <x:c r="O309" s="38"/>
      <x:c r="P309" s="38"/>
      <x:c r="Q309" s="38"/>
      <x:c r="R309" s="38"/>
      <x:c r="S309" s="38"/>
      <x:c r="T309" s="38"/>
      <x:c r="U309" s="38"/>
      <x:c r="V309" s="38"/>
      <x:c r="W309" s="34"/>
      <x:c r="X309" s="36"/>
      <x:c r="Y309" s="40"/>
      <x:c r="Z309" s="40"/>
      <x:c r="AA309" s="38"/>
      <x:c r="AB309" s="41"/>
      <x:c r="AC309" s="38"/>
    </x:row>
    <x:row r="310">
      <x:c r="A310" s="22"/>
      <x:c r="B310" s="22"/>
      <x:c r="C310" s="34"/>
      <x:c r="D310" s="34"/>
      <x:c r="E310" s="22"/>
      <x:c r="F310" s="22"/>
      <x:c r="G310" s="22"/>
      <x:c r="H310" s="36"/>
      <x:c r="I310" s="38"/>
      <x:c r="J310" s="38"/>
      <x:c r="K310" s="38"/>
      <x:c r="L310" s="38"/>
      <x:c r="M310" s="38"/>
      <x:c r="N310" s="38"/>
      <x:c r="O310" s="38"/>
      <x:c r="P310" s="38"/>
      <x:c r="Q310" s="38"/>
      <x:c r="R310" s="38"/>
      <x:c r="S310" s="38"/>
      <x:c r="T310" s="38"/>
      <x:c r="U310" s="38"/>
      <x:c r="V310" s="38"/>
      <x:c r="W310" s="34"/>
      <x:c r="X310" s="36"/>
      <x:c r="Y310" s="40"/>
      <x:c r="Z310" s="40"/>
      <x:c r="AA310" s="38"/>
      <x:c r="AB310" s="41"/>
      <x:c r="AC310" s="38"/>
    </x:row>
    <x:row r="311">
      <x:c r="A311" s="22"/>
      <x:c r="B311" s="22"/>
      <x:c r="C311" s="34"/>
      <x:c r="D311" s="34"/>
      <x:c r="E311" s="22"/>
      <x:c r="F311" s="22"/>
      <x:c r="G311" s="22"/>
      <x:c r="H311" s="36"/>
      <x:c r="I311" s="38"/>
      <x:c r="J311" s="38"/>
      <x:c r="K311" s="38"/>
      <x:c r="L311" s="38"/>
      <x:c r="M311" s="38"/>
      <x:c r="N311" s="38"/>
      <x:c r="O311" s="38"/>
      <x:c r="P311" s="38"/>
      <x:c r="Q311" s="38"/>
      <x:c r="R311" s="38"/>
      <x:c r="S311" s="38"/>
      <x:c r="T311" s="38"/>
      <x:c r="U311" s="38"/>
      <x:c r="V311" s="38"/>
      <x:c r="W311" s="34"/>
      <x:c r="X311" s="36"/>
      <x:c r="Y311" s="40"/>
      <x:c r="Z311" s="40"/>
      <x:c r="AA311" s="38"/>
      <x:c r="AB311" s="41"/>
      <x:c r="AC311" s="38"/>
    </x:row>
    <x:row r="312">
      <x:c r="A312" s="22"/>
      <x:c r="B312" s="22"/>
      <x:c r="C312" s="34"/>
      <x:c r="D312" s="34"/>
      <x:c r="E312" s="22"/>
      <x:c r="F312" s="22"/>
      <x:c r="G312" s="22"/>
      <x:c r="H312" s="36"/>
      <x:c r="I312" s="38"/>
      <x:c r="J312" s="38"/>
      <x:c r="K312" s="38"/>
      <x:c r="L312" s="38"/>
      <x:c r="M312" s="38"/>
      <x:c r="N312" s="38"/>
      <x:c r="O312" s="38"/>
      <x:c r="P312" s="38"/>
      <x:c r="Q312" s="38"/>
      <x:c r="R312" s="38"/>
      <x:c r="S312" s="38"/>
      <x:c r="T312" s="38"/>
      <x:c r="U312" s="38"/>
      <x:c r="V312" s="38"/>
      <x:c r="W312" s="34"/>
      <x:c r="X312" s="36"/>
      <x:c r="Y312" s="40"/>
      <x:c r="Z312" s="40"/>
      <x:c r="AA312" s="38"/>
      <x:c r="AB312" s="41"/>
      <x:c r="AC312" s="38"/>
    </x:row>
    <x:row r="313">
      <x:c r="A313" s="43" t="str">
        <x:v>喷粉</x:v>
      </x:c>
      <x:c r="B313" s="43"/>
      <x:c r="C313" s="44"/>
      <x:c r="D313" s="44"/>
      <x:c r="E313" s="43"/>
      <x:c r="F313" s="43"/>
      <x:c r="G313" s="43"/>
      <x:c r="H313" s="45"/>
      <x:c r="I313" s="46"/>
      <x:c r="J313" s="46"/>
      <x:c r="K313" s="46"/>
      <x:c r="L313" s="46"/>
      <x:c r="M313" s="46"/>
      <x:c r="N313" s="46"/>
      <x:c r="O313" s="46"/>
      <x:c r="P313" s="46"/>
      <x:c r="Q313" s="46"/>
      <x:c r="R313" s="46"/>
      <x:c r="S313" s="46"/>
      <x:c r="T313" s="46"/>
      <x:c r="U313" s="46"/>
      <x:c r="V313" s="46"/>
      <x:c r="W313" s="44"/>
      <x:c r="X313" s="45"/>
      <x:c r="Y313" s="47"/>
      <x:c r="Z313" s="47"/>
      <x:c r="AA313" s="46"/>
      <x:c r="AB313" s="48"/>
      <x:c r="AC313" s="46"/>
    </x:row>
    <x:row r="314">
      <x:c r="A314" s="22" t="str">
        <x:v>PW10</x:v>
      </x:c>
      <x:c r="B314" s="22" t="s">
        <x:v>519</x:v>
      </x:c>
      <x:c r="C314" s="34">
        <x:v>15</x:v>
      </x:c>
      <x:c r="D314" s="34" t="n">
        <x:f>IFERROR(60*60/C314,0)</x:f>
        <x:v>240</x:v>
      </x:c>
      <x:c r="E314" s="22">
        <x:v>8</x:v>
      </x:c>
      <x:c r="F314" s="22">
        <x:v>22</x:v>
      </x:c>
      <x:c r="G314" s="22">
        <x:v>300</x:v>
      </x:c>
      <x:c r="H314" s="36">
        <x:v>450000</x:v>
      </x:c>
      <x:c r="I314" s="38" t="n">
        <x:f>IFERROR(H314/E314/F314/G314/D314,0)</x:f>
        <x:v>0.03551136363636364</x:v>
      </x:c>
      <x:c r="J314" s="38">
        <x:v>0.62777055000000004</x:v>
      </x:c>
      <x:c r="K314" s="38">
        <x:v>12</x:v>
      </x:c>
      <x:c r="L314" s="38" t="n">
        <x:f>IFERROR(J314*K314/D314,0)</x:f>
        <x:v>0.0313885275</x:v>
      </x:c>
      <x:c r="M314" s="38">
        <x:v>3.7</x:v>
      </x:c>
      <x:c r="N314" s="38">
        <x:v>8</x:v>
      </x:c>
      <x:c r="O314" s="38" t="n">
        <x:f>IFERROR(N314*M314/D314,0)</x:f>
        <x:v>0.12333333333333334</x:v>
      </x:c>
      <x:c r="P314" s="38" t="n">
        <x:f>O314+L314</x:f>
        <x:v>0.15472186083333334</x:v>
      </x:c>
      <x:c r="Q314" s="38">
        <x:v>0</x:v>
      </x:c>
      <x:c r="R314" s="38">
        <x:v>0</x:v>
      </x:c>
      <x:c r="S314" s="38">
        <x:v>5</x:v>
      </x:c>
      <x:c r="T314" s="38">
        <x:v>0</x:v>
      </x:c>
      <x:c r="U314" s="38">
        <x:v>2</x:v>
      </x:c>
      <x:c r="V314" s="38" t="n">
        <x:f>IFERROR((Q314+R314+S314+T314+U314)/D314,0)</x:f>
        <x:v>0.029166666666666667</x:v>
      </x:c>
      <x:c r="W314" s="34">
        <x:v>2</x:v>
      </x:c>
      <x:c r="X314" s="36">
        <x:v>6000</x:v>
      </x:c>
      <x:c r="Y314" s="40">
        <x:v>11</x:v>
      </x:c>
      <x:c r="Z314" s="40">
        <x:v>25</x:v>
      </x:c>
      <x:c r="AA314" s="38" t="n">
        <x:f>IFERROR((W314*X314)/Y314/Z314/D314,0)</x:f>
        <x:v>0.18181818181818182</x:v>
      </x:c>
      <x:c r="AB314" s="41">
        <x:v>0.95</x:v>
      </x:c>
      <x:c r="AC314" s="38" t="n">
        <x:f>IFERROR((I314+P314+V314+AA314)/AB314,0)</x:f>
        <x:v>0.42233481363636366</x:v>
      </x:c>
    </x:row>
    <x:row r="315">
      <x:c r="A315" s="22" t="str">
        <x:v>PW20</x:v>
      </x:c>
      <x:c r="B315" s="22" t="s">
        <x:v>520</x:v>
      </x:c>
      <x:c r="C315" s="34">
        <x:v>6</x:v>
      </x:c>
      <x:c r="D315" s="34" t="n">
        <x:f>IFERROR(60*60/C315,0)</x:f>
        <x:v>600</x:v>
      </x:c>
      <x:c r="E315" s="22">
        <x:v>10</x:v>
      </x:c>
      <x:c r="F315" s="22">
        <x:v>22</x:v>
      </x:c>
      <x:c r="G315" s="22">
        <x:v>300</x:v>
      </x:c>
      <x:c r="H315" s="36">
        <x:v>1800000</x:v>
      </x:c>
      <x:c r="I315" s="38" t="n">
        <x:f>IFERROR(H315/E315/F315/G315/D315,0)</x:f>
        <x:v>0.045454545454545456</x:v>
      </x:c>
      <x:c r="J315" s="38">
        <x:v>0.62777055000000004</x:v>
      </x:c>
      <x:c r="K315" s="38">
        <x:v>35</x:v>
      </x:c>
      <x:c r="L315" s="38" t="n">
        <x:f>IFERROR(J315*K315/D315,0)</x:f>
        <x:v>0.03661994875</x:v>
      </x:c>
      <x:c r="M315" s="38">
        <x:v>3.7</x:v>
      </x:c>
      <x:c r="N315" s="38">
        <x:v>8</x:v>
      </x:c>
      <x:c r="O315" s="38" t="n">
        <x:f>IFERROR(N315*M315/D315,0)</x:f>
        <x:v>0.04933333333333333</x:v>
      </x:c>
      <x:c r="P315" s="38" t="n">
        <x:f>O315+L315</x:f>
        <x:v>0.08595328208333333</x:v>
      </x:c>
      <x:c r="Q315" s="38">
        <x:v>0</x:v>
      </x:c>
      <x:c r="R315" s="38">
        <x:v>0</x:v>
      </x:c>
      <x:c r="S315" s="38">
        <x:v>5</x:v>
      </x:c>
      <x:c r="T315" s="38">
        <x:v>0</x:v>
      </x:c>
      <x:c r="U315" s="38">
        <x:v>2</x:v>
      </x:c>
      <x:c r="V315" s="38" t="n">
        <x:f>IFERROR((Q315+R315+S315+T315+U315)/D315,0)</x:f>
        <x:v>0.011666666666666667</x:v>
      </x:c>
      <x:c r="W315" s="34">
        <x:v>3</x:v>
      </x:c>
      <x:c r="X315" s="36">
        <x:v>6000</x:v>
      </x:c>
      <x:c r="Y315" s="40">
        <x:v>11</x:v>
      </x:c>
      <x:c r="Z315" s="40">
        <x:v>25</x:v>
      </x:c>
      <x:c r="AA315" s="38" t="n">
        <x:f>IFERROR((W315*X315)/Y315/Z315/D315,0)</x:f>
        <x:v>0.10909090909090909</x:v>
      </x:c>
      <x:c r="AB315" s="41">
        <x:v>0.95</x:v>
      </x:c>
      <x:c r="AC315" s="38" t="n">
        <x:f>IFERROR((I315+P315+V315+AA315)/AB315,0)</x:f>
        <x:v>0.26543726662679423</x:v>
      </x:c>
    </x:row>
    <x:row r="316">
      <x:c r="A316" s="22" t="str">
        <x:v>PW30</x:v>
      </x:c>
      <x:c r="B316" s="22" t="s">
        <x:v>521</x:v>
      </x:c>
      <x:c r="C316" s="34">
        <x:v>10</x:v>
      </x:c>
      <x:c r="D316" s="34" t="n">
        <x:f>IFERROR(60*60/C316,0)</x:f>
        <x:v>360</x:v>
      </x:c>
      <x:c r="E316" s="22">
        <x:v>12</x:v>
      </x:c>
      <x:c r="F316" s="22">
        <x:v>22</x:v>
      </x:c>
      <x:c r="G316" s="22">
        <x:v>300</x:v>
      </x:c>
      <x:c r="H316" s="36">
        <x:v>5500000</x:v>
      </x:c>
      <x:c r="I316" s="38" t="n">
        <x:f>IFERROR(H316/E316/F316/G316/D316,0)</x:f>
        <x:v>0.19290123456790123</x:v>
      </x:c>
      <x:c r="J316" s="38">
        <x:v>0.62777055000000004</x:v>
      </x:c>
      <x:c r="K316" s="38">
        <x:v>160</x:v>
      </x:c>
      <x:c r="L316" s="38" t="n">
        <x:f>IFERROR(J316*K316/D316,0)</x:f>
        <x:v>0.2790091333333334</x:v>
      </x:c>
      <x:c r="M316" s="38">
        <x:v>3.7</x:v>
      </x:c>
      <x:c r="N316" s="38">
        <x:v>8</x:v>
      </x:c>
      <x:c r="O316" s="38" t="n">
        <x:f>IFERROR(N316*M316/D316,0)</x:f>
        <x:v>0.08222222222222222</x:v>
      </x:c>
      <x:c r="P316" s="38" t="n">
        <x:f>O316+L316</x:f>
        <x:v>0.36123135555555563</x:v>
      </x:c>
      <x:c r="Q316" s="38">
        <x:v>0</x:v>
      </x:c>
      <x:c r="R316" s="38">
        <x:v>0</x:v>
      </x:c>
      <x:c r="S316" s="38">
        <x:v>5</x:v>
      </x:c>
      <x:c r="T316" s="38">
        <x:v>0</x:v>
      </x:c>
      <x:c r="U316" s="38">
        <x:v>2</x:v>
      </x:c>
      <x:c r="V316" s="38" t="n">
        <x:f>IFERROR((Q316+R316+S316+T316+U316)/D316,0)</x:f>
        <x:v>0.019444444444444445</x:v>
      </x:c>
      <x:c r="W316" s="34">
        <x:v>6</x:v>
      </x:c>
      <x:c r="X316" s="36">
        <x:v>6000</x:v>
      </x:c>
      <x:c r="Y316" s="40">
        <x:v>11</x:v>
      </x:c>
      <x:c r="Z316" s="40">
        <x:v>25</x:v>
      </x:c>
      <x:c r="AA316" s="38" t="n">
        <x:f>IFERROR((W316*X316)/Y316/Z316/D316,0)</x:f>
        <x:v>0.36363636363636365</x:v>
      </x:c>
      <x:c r="AB316" s="41">
        <x:v>0.93</x:v>
      </x:c>
      <x:c r="AC316" s="38" t="n">
        <x:f>IFERROR((I316+P316+V316+AA316)/AB316,0)</x:f>
        <x:v>1.0077563421551237</x:v>
      </x:c>
    </x:row>
    <x:row r="317">
      <x:c r="A317" s="22"/>
      <x:c r="B317" s="22"/>
      <x:c r="C317" s="34"/>
      <x:c r="D317" s="34"/>
      <x:c r="E317" s="22"/>
      <x:c r="F317" s="22"/>
      <x:c r="G317" s="22"/>
      <x:c r="H317" s="36"/>
      <x:c r="I317" s="38"/>
      <x:c r="J317" s="38"/>
      <x:c r="K317" s="38"/>
      <x:c r="L317" s="38"/>
      <x:c r="M317" s="38"/>
      <x:c r="N317" s="38"/>
      <x:c r="O317" s="38"/>
      <x:c r="P317" s="38"/>
      <x:c r="Q317" s="38"/>
      <x:c r="R317" s="38"/>
      <x:c r="S317" s="38"/>
      <x:c r="T317" s="38"/>
      <x:c r="U317" s="38"/>
      <x:c r="V317" s="38"/>
      <x:c r="W317" s="34"/>
      <x:c r="X317" s="36"/>
      <x:c r="Y317" s="40"/>
      <x:c r="Z317" s="40"/>
      <x:c r="AA317" s="38"/>
      <x:c r="AB317" s="41"/>
      <x:c r="AC317" s="38"/>
    </x:row>
    <x:row r="318">
      <x:c r="A318" s="22"/>
      <x:c r="B318" s="22"/>
      <x:c r="C318" s="34"/>
      <x:c r="D318" s="34"/>
      <x:c r="E318" s="22"/>
      <x:c r="F318" s="22"/>
      <x:c r="G318" s="22"/>
      <x:c r="H318" s="36"/>
      <x:c r="I318" s="38"/>
      <x:c r="J318" s="38"/>
      <x:c r="K318" s="38"/>
      <x:c r="L318" s="38"/>
      <x:c r="M318" s="38"/>
      <x:c r="N318" s="38"/>
      <x:c r="O318" s="38"/>
      <x:c r="P318" s="38"/>
      <x:c r="Q318" s="38"/>
      <x:c r="R318" s="38"/>
      <x:c r="S318" s="38"/>
      <x:c r="T318" s="38"/>
      <x:c r="U318" s="38"/>
      <x:c r="V318" s="38"/>
      <x:c r="W318" s="34"/>
      <x:c r="X318" s="36"/>
      <x:c r="Y318" s="40"/>
      <x:c r="Z318" s="40"/>
      <x:c r="AA318" s="38"/>
      <x:c r="AB318" s="41"/>
      <x:c r="AC318" s="38"/>
    </x:row>
    <x:row r="319">
      <x:c r="A319" s="22"/>
      <x:c r="B319" s="22"/>
      <x:c r="C319" s="34"/>
      <x:c r="D319" s="34"/>
      <x:c r="E319" s="22"/>
      <x:c r="F319" s="22"/>
      <x:c r="G319" s="22"/>
      <x:c r="H319" s="36"/>
      <x:c r="I319" s="38"/>
      <x:c r="J319" s="38"/>
      <x:c r="K319" s="38"/>
      <x:c r="L319" s="38"/>
      <x:c r="M319" s="38"/>
      <x:c r="N319" s="38"/>
      <x:c r="O319" s="38"/>
      <x:c r="P319" s="38"/>
      <x:c r="Q319" s="38"/>
      <x:c r="R319" s="38"/>
      <x:c r="S319" s="38"/>
      <x:c r="T319" s="38"/>
      <x:c r="U319" s="38"/>
      <x:c r="V319" s="38"/>
      <x:c r="W319" s="34"/>
      <x:c r="X319" s="36"/>
      <x:c r="Y319" s="40"/>
      <x:c r="Z319" s="40"/>
      <x:c r="AA319" s="38"/>
      <x:c r="AB319" s="41"/>
      <x:c r="AC319" s="38"/>
    </x:row>
    <x:row r="320">
      <x:c r="A320" s="22"/>
      <x:c r="B320" s="22"/>
      <x:c r="C320" s="34"/>
      <x:c r="D320" s="34"/>
      <x:c r="E320" s="22"/>
      <x:c r="F320" s="22"/>
      <x:c r="G320" s="22"/>
      <x:c r="H320" s="36"/>
      <x:c r="I320" s="38"/>
      <x:c r="J320" s="38"/>
      <x:c r="K320" s="38"/>
      <x:c r="L320" s="38"/>
      <x:c r="M320" s="38"/>
      <x:c r="N320" s="38"/>
      <x:c r="O320" s="38"/>
      <x:c r="P320" s="38"/>
      <x:c r="Q320" s="38"/>
      <x:c r="R320" s="38"/>
      <x:c r="S320" s="38"/>
      <x:c r="T320" s="38"/>
      <x:c r="U320" s="38"/>
      <x:c r="V320" s="38"/>
      <x:c r="W320" s="34"/>
      <x:c r="X320" s="36"/>
      <x:c r="Y320" s="40"/>
      <x:c r="Z320" s="40"/>
      <x:c r="AA320" s="38"/>
      <x:c r="AB320" s="41"/>
      <x:c r="AC320" s="38"/>
    </x:row>
    <x:row r="321">
      <x:c r="A321" s="22"/>
      <x:c r="B321" s="22"/>
      <x:c r="C321" s="34"/>
      <x:c r="D321" s="34"/>
      <x:c r="E321" s="22"/>
      <x:c r="F321" s="22"/>
      <x:c r="G321" s="22"/>
      <x:c r="H321" s="36"/>
      <x:c r="I321" s="38"/>
      <x:c r="J321" s="38"/>
      <x:c r="K321" s="38"/>
      <x:c r="L321" s="38"/>
      <x:c r="M321" s="38"/>
      <x:c r="N321" s="38"/>
      <x:c r="O321" s="38"/>
      <x:c r="P321" s="38"/>
      <x:c r="Q321" s="38"/>
      <x:c r="R321" s="38"/>
      <x:c r="S321" s="38"/>
      <x:c r="T321" s="38"/>
      <x:c r="U321" s="38"/>
      <x:c r="V321" s="38"/>
      <x:c r="W321" s="34"/>
      <x:c r="X321" s="36"/>
      <x:c r="Y321" s="40"/>
      <x:c r="Z321" s="40"/>
      <x:c r="AA321" s="38"/>
      <x:c r="AB321" s="41"/>
      <x:c r="AC321" s="38"/>
    </x:row>
    <x:row r="322">
      <x:c r="A322" s="22"/>
      <x:c r="B322" s="22"/>
      <x:c r="C322" s="34"/>
      <x:c r="D322" s="34"/>
      <x:c r="E322" s="22"/>
      <x:c r="F322" s="22"/>
      <x:c r="G322" s="22"/>
      <x:c r="H322" s="36"/>
      <x:c r="I322" s="38"/>
      <x:c r="J322" s="38"/>
      <x:c r="K322" s="38"/>
      <x:c r="L322" s="38"/>
      <x:c r="M322" s="38"/>
      <x:c r="N322" s="38"/>
      <x:c r="O322" s="38"/>
      <x:c r="P322" s="38"/>
      <x:c r="Q322" s="38"/>
      <x:c r="R322" s="38"/>
      <x:c r="S322" s="38"/>
      <x:c r="T322" s="38"/>
      <x:c r="U322" s="38"/>
      <x:c r="V322" s="38"/>
      <x:c r="W322" s="34"/>
      <x:c r="X322" s="36"/>
      <x:c r="Y322" s="40"/>
      <x:c r="Z322" s="40"/>
      <x:c r="AA322" s="38"/>
      <x:c r="AB322" s="41"/>
      <x:c r="AC322" s="38"/>
    </x:row>
    <x:row r="323">
      <x:c r="A323" s="22"/>
      <x:c r="B323" s="22"/>
      <x:c r="C323" s="34"/>
      <x:c r="D323" s="34"/>
      <x:c r="E323" s="22"/>
      <x:c r="F323" s="22"/>
      <x:c r="G323" s="22"/>
      <x:c r="H323" s="36"/>
      <x:c r="I323" s="38"/>
      <x:c r="J323" s="38"/>
      <x:c r="K323" s="38"/>
      <x:c r="L323" s="38"/>
      <x:c r="M323" s="38"/>
      <x:c r="N323" s="38"/>
      <x:c r="O323" s="38"/>
      <x:c r="P323" s="38"/>
      <x:c r="Q323" s="38"/>
      <x:c r="R323" s="38"/>
      <x:c r="S323" s="38"/>
      <x:c r="T323" s="38"/>
      <x:c r="U323" s="38"/>
      <x:c r="V323" s="38"/>
      <x:c r="W323" s="34"/>
      <x:c r="X323" s="36"/>
      <x:c r="Y323" s="40"/>
      <x:c r="Z323" s="40"/>
      <x:c r="AA323" s="38"/>
      <x:c r="AB323" s="41"/>
      <x:c r="AC323" s="38"/>
    </x:row>
    <x:row r="324">
      <x:c r="A324" s="22"/>
      <x:c r="B324" s="22"/>
      <x:c r="C324" s="34"/>
      <x:c r="D324" s="34"/>
      <x:c r="E324" s="22"/>
      <x:c r="F324" s="22"/>
      <x:c r="G324" s="22"/>
      <x:c r="H324" s="36"/>
      <x:c r="I324" s="38"/>
      <x:c r="J324" s="38"/>
      <x:c r="K324" s="38"/>
      <x:c r="L324" s="38"/>
      <x:c r="M324" s="38"/>
      <x:c r="N324" s="38"/>
      <x:c r="O324" s="38"/>
      <x:c r="P324" s="38"/>
      <x:c r="Q324" s="38"/>
      <x:c r="R324" s="38"/>
      <x:c r="S324" s="38"/>
      <x:c r="T324" s="38"/>
      <x:c r="U324" s="38"/>
      <x:c r="V324" s="38"/>
      <x:c r="W324" s="34"/>
      <x:c r="X324" s="36"/>
      <x:c r="Y324" s="40"/>
      <x:c r="Z324" s="40"/>
      <x:c r="AA324" s="38"/>
      <x:c r="AB324" s="41"/>
      <x:c r="AC324" s="38"/>
    </x:row>
    <x:row r="325">
      <x:c r="A325" s="43" t="str">
        <x:v>浸塑</x:v>
      </x:c>
      <x:c r="B325" s="43"/>
      <x:c r="C325" s="44"/>
      <x:c r="D325" s="44"/>
      <x:c r="E325" s="43"/>
      <x:c r="F325" s="43"/>
      <x:c r="G325" s="43"/>
      <x:c r="H325" s="45"/>
      <x:c r="I325" s="46"/>
      <x:c r="J325" s="46"/>
      <x:c r="K325" s="46"/>
      <x:c r="L325" s="46"/>
      <x:c r="M325" s="46"/>
      <x:c r="N325" s="46"/>
      <x:c r="O325" s="46"/>
      <x:c r="P325" s="46"/>
      <x:c r="Q325" s="46"/>
      <x:c r="R325" s="46"/>
      <x:c r="S325" s="46"/>
      <x:c r="T325" s="46"/>
      <x:c r="U325" s="46"/>
      <x:c r="V325" s="46"/>
      <x:c r="W325" s="44"/>
      <x:c r="X325" s="45"/>
      <x:c r="Y325" s="47"/>
      <x:c r="Z325" s="47"/>
      <x:c r="AA325" s="46"/>
      <x:c r="AB325" s="48"/>
      <x:c r="AC325" s="46"/>
    </x:row>
    <x:row r="326">
      <x:c r="A326" s="22" t="str">
        <x:v>DP10</x:v>
      </x:c>
      <x:c r="B326" s="22" t="s">
        <x:v>522</x:v>
      </x:c>
      <x:c r="C326" s="34">
        <x:v>12</x:v>
      </x:c>
      <x:c r="D326" s="34" t="n">
        <x:f>IFERROR(60*60/C326,0)</x:f>
        <x:v>300</x:v>
      </x:c>
      <x:c r="E326" s="22">
        <x:v>10</x:v>
      </x:c>
      <x:c r="F326" s="22">
        <x:v>22</x:v>
      </x:c>
      <x:c r="G326" s="22">
        <x:v>300</x:v>
      </x:c>
      <x:c r="H326" s="36">
        <x:v>1200000</x:v>
      </x:c>
      <x:c r="I326" s="38" t="n">
        <x:f>IFERROR(H326/E326/F326/G326/D326,0)</x:f>
        <x:v>0.060606060606060615</x:v>
      </x:c>
      <x:c r="J326" s="38">
        <x:v>0.62777055000000004</x:v>
      </x:c>
      <x:c r="K326" s="38">
        <x:v>45</x:v>
      </x:c>
      <x:c r="L326" s="38" t="n">
        <x:f>IFERROR(J326*K326/D326,0)</x:f>
        <x:v>0.0941655825</x:v>
      </x:c>
      <x:c r="M326" s="38">
        <x:v>3.7</x:v>
      </x:c>
      <x:c r="N326" s="38">
        <x:v>8</x:v>
      </x:c>
      <x:c r="O326" s="38" t="n">
        <x:f>IFERROR(N326*M326/D326,0)</x:f>
        <x:v>0.09866666666666667</x:v>
      </x:c>
      <x:c r="P326" s="38" t="n">
        <x:f>O326+L326</x:f>
        <x:v>0.19283224916666666</x:v>
      </x:c>
      <x:c r="Q326" s="38">
        <x:v>0</x:v>
      </x:c>
      <x:c r="R326" s="38">
        <x:v>0</x:v>
      </x:c>
      <x:c r="S326" s="38">
        <x:v>2</x:v>
      </x:c>
      <x:c r="T326" s="38">
        <x:v>0</x:v>
      </x:c>
      <x:c r="U326" s="38">
        <x:v>2</x:v>
      </x:c>
      <x:c r="V326" s="38" t="n">
        <x:f>IFERROR((Q326+R326+S326+T326+U326)/D326,0)</x:f>
        <x:v>0.013333333333333334</x:v>
      </x:c>
      <x:c r="W326" s="34">
        <x:v>3</x:v>
      </x:c>
      <x:c r="X326" s="36">
        <x:v>6000</x:v>
      </x:c>
      <x:c r="Y326" s="40">
        <x:v>11</x:v>
      </x:c>
      <x:c r="Z326" s="40">
        <x:v>25</x:v>
      </x:c>
      <x:c r="AA326" s="38" t="n">
        <x:f>IFERROR((W326*X326)/Y326/Z326/D326,0)</x:f>
        <x:v>0.21818181818181817</x:v>
      </x:c>
      <x:c r="AB326" s="41">
        <x:v>0.94</x:v>
      </x:c>
      <x:c r="AC326" s="38" t="n">
        <x:f>IFERROR((I326+P326+V326+AA326)/AB326,0)</x:f>
        <x:v>0.5159079375402966</x:v>
      </x:c>
    </x:row>
    <x:row r="327">
      <x:c r="A327" s="22" t="str">
        <x:v>DP20</x:v>
      </x:c>
      <x:c r="B327" s="22" t="s">
        <x:v>523</x:v>
      </x:c>
      <x:c r="C327" s="34">
        <x:v>10</x:v>
      </x:c>
      <x:c r="D327" s="34" t="n">
        <x:f>IFERROR(60*60/C327,0)</x:f>
        <x:v>360</x:v>
      </x:c>
      <x:c r="E327" s="22">
        <x:v>10</x:v>
      </x:c>
      <x:c r="F327" s="22">
        <x:v>22</x:v>
      </x:c>
      <x:c r="G327" s="22">
        <x:v>300</x:v>
      </x:c>
      <x:c r="H327" s="36">
        <x:v>1500000</x:v>
      </x:c>
      <x:c r="I327" s="38" t="n">
        <x:f>IFERROR(H327/E327/F327/G327/D327,0)</x:f>
        <x:v>0.06313131313131314</x:v>
      </x:c>
      <x:c r="J327" s="38">
        <x:v>0.62777055000000004</x:v>
      </x:c>
      <x:c r="K327" s="38">
        <x:v>55</x:v>
      </x:c>
      <x:c r="L327" s="38" t="n">
        <x:f>IFERROR(J327*K327/D327,0)</x:f>
        <x:v>0.09590938958333334</x:v>
      </x:c>
      <x:c r="M327" s="38">
        <x:v>3.7</x:v>
      </x:c>
      <x:c r="N327" s="38">
        <x:v>8</x:v>
      </x:c>
      <x:c r="O327" s="38" t="n">
        <x:f>IFERROR(N327*M327/D327,0)</x:f>
        <x:v>0.08222222222222222</x:v>
      </x:c>
      <x:c r="P327" s="38" t="n">
        <x:f>O327+L327</x:f>
        <x:v>0.17813161180555556</x:v>
      </x:c>
      <x:c r="Q327" s="38">
        <x:v>0</x:v>
      </x:c>
      <x:c r="R327" s="38">
        <x:v>0</x:v>
      </x:c>
      <x:c r="S327" s="38">
        <x:v>2</x:v>
      </x:c>
      <x:c r="T327" s="38">
        <x:v>0</x:v>
      </x:c>
      <x:c r="U327" s="38">
        <x:v>2</x:v>
      </x:c>
      <x:c r="V327" s="38" t="n">
        <x:f>IFERROR((Q327+R327+S327+T327+U327)/D327,0)</x:f>
        <x:v>0.011111111111111112</x:v>
      </x:c>
      <x:c r="W327" s="34">
        <x:v>3</x:v>
      </x:c>
      <x:c r="X327" s="36">
        <x:v>6000</x:v>
      </x:c>
      <x:c r="Y327" s="40">
        <x:v>11</x:v>
      </x:c>
      <x:c r="Z327" s="40">
        <x:v>25</x:v>
      </x:c>
      <x:c r="AA327" s="38" t="n">
        <x:f>IFERROR((W327*X327)/Y327/Z327/D327,0)</x:f>
        <x:v>0.18181818181818182</x:v>
      </x:c>
      <x:c r="AB327" s="41">
        <x:v>0.94</x:v>
      </x:c>
      <x:c r="AC327" s="38" t="n">
        <x:f>IFERROR((I327+P327+V327+AA327)/AB327,0)</x:f>
        <x:v>0.4619066147512358</x:v>
      </x:c>
    </x:row>
    <x:row r="328">
      <x:c r="A328" s="22" t="str">
        <x:v>DP30</x:v>
      </x:c>
      <x:c r="B328" s="22" t="s">
        <x:v>524</x:v>
      </x:c>
      <x:c r="C328" s="34">
        <x:v>15</x:v>
      </x:c>
      <x:c r="D328" s="34" t="n">
        <x:f>IFERROR(60*60/C328,0)</x:f>
        <x:v>240</x:v>
      </x:c>
      <x:c r="E328" s="22">
        <x:v>12</x:v>
      </x:c>
      <x:c r="F328" s="22">
        <x:v>22</x:v>
      </x:c>
      <x:c r="G328" s="22">
        <x:v>300</x:v>
      </x:c>
      <x:c r="H328" s="36">
        <x:v>3800000</x:v>
      </x:c>
      <x:c r="I328" s="38" t="n">
        <x:f>IFERROR(H328/E328/F328/G328/D328,0)</x:f>
        <x:v>0.1999158249158249</x:v>
      </x:c>
      <x:c r="J328" s="38">
        <x:v>0.62777055000000004</x:v>
      </x:c>
      <x:c r="K328" s="38">
        <x:v>120</x:v>
      </x:c>
      <x:c r="L328" s="38" t="n">
        <x:f>IFERROR(J328*K328/D328,0)</x:f>
        <x:v>0.313885275</x:v>
      </x:c>
      <x:c r="M328" s="38">
        <x:v>3.7</x:v>
      </x:c>
      <x:c r="N328" s="38">
        <x:v>8</x:v>
      </x:c>
      <x:c r="O328" s="38" t="n">
        <x:f>IFERROR(N328*M328/D328,0)</x:f>
        <x:v>0.12333333333333334</x:v>
      </x:c>
      <x:c r="P328" s="38" t="n">
        <x:f>O328+L328</x:f>
        <x:v>0.43721860833333337</x:v>
      </x:c>
      <x:c r="Q328" s="38">
        <x:v>0</x:v>
      </x:c>
      <x:c r="R328" s="38">
        <x:v>0</x:v>
      </x:c>
      <x:c r="S328" s="38">
        <x:v>2</x:v>
      </x:c>
      <x:c r="T328" s="38">
        <x:v>0</x:v>
      </x:c>
      <x:c r="U328" s="38">
        <x:v>2</x:v>
      </x:c>
      <x:c r="V328" s="38" t="n">
        <x:f>IFERROR((Q328+R328+S328+T328+U328)/D328,0)</x:f>
        <x:v>0.016666666666666666</x:v>
      </x:c>
      <x:c r="W328" s="34">
        <x:v>5</x:v>
      </x:c>
      <x:c r="X328" s="36">
        <x:v>6000</x:v>
      </x:c>
      <x:c r="Y328" s="40">
        <x:v>11</x:v>
      </x:c>
      <x:c r="Z328" s="40">
        <x:v>25</x:v>
      </x:c>
      <x:c r="AA328" s="38" t="n">
        <x:f>IFERROR((W328*X328)/Y328/Z328/D328,0)</x:f>
        <x:v>0.45454545454545453</x:v>
      </x:c>
      <x:c r="AB328" s="41">
        <x:v>0.92</x:v>
      </x:c>
      <x:c r="AC328" s="38" t="n">
        <x:f>IFERROR((I328+P328+V328+AA328)/AB328,0)</x:f>
        <x:v>1.204724515718782</x:v>
      </x:c>
    </x:row>
    <x:row r="329">
      <x:c r="A329" s="22"/>
      <x:c r="B329" s="22"/>
      <x:c r="C329" s="34"/>
      <x:c r="D329" s="34"/>
      <x:c r="E329" s="22"/>
      <x:c r="F329" s="22"/>
      <x:c r="G329" s="22"/>
      <x:c r="H329" s="36"/>
      <x:c r="I329" s="38"/>
      <x:c r="J329" s="38"/>
      <x:c r="K329" s="38"/>
      <x:c r="L329" s="38"/>
      <x:c r="M329" s="38"/>
      <x:c r="N329" s="38"/>
      <x:c r="O329" s="38"/>
      <x:c r="P329" s="38"/>
      <x:c r="Q329" s="38"/>
      <x:c r="R329" s="38"/>
      <x:c r="S329" s="38"/>
      <x:c r="T329" s="38"/>
      <x:c r="U329" s="38"/>
      <x:c r="V329" s="38"/>
      <x:c r="W329" s="34"/>
      <x:c r="X329" s="36"/>
      <x:c r="Y329" s="40"/>
      <x:c r="Z329" s="40"/>
      <x:c r="AA329" s="38"/>
      <x:c r="AB329" s="41"/>
      <x:c r="AC329" s="38"/>
    </x:row>
    <x:row r="330">
      <x:c r="A330" s="22"/>
      <x:c r="B330" s="22"/>
      <x:c r="C330" s="34"/>
      <x:c r="D330" s="34"/>
      <x:c r="E330" s="22"/>
      <x:c r="F330" s="22"/>
      <x:c r="G330" s="22"/>
      <x:c r="H330" s="36"/>
      <x:c r="I330" s="38"/>
      <x:c r="J330" s="38"/>
      <x:c r="K330" s="38"/>
      <x:c r="L330" s="38"/>
      <x:c r="M330" s="38"/>
      <x:c r="N330" s="38"/>
      <x:c r="O330" s="38"/>
      <x:c r="P330" s="38"/>
      <x:c r="Q330" s="38"/>
      <x:c r="R330" s="38"/>
      <x:c r="S330" s="38"/>
      <x:c r="T330" s="38"/>
      <x:c r="U330" s="38"/>
      <x:c r="V330" s="38"/>
      <x:c r="W330" s="34"/>
      <x:c r="X330" s="36"/>
      <x:c r="Y330" s="40"/>
      <x:c r="Z330" s="40"/>
      <x:c r="AA330" s="38"/>
      <x:c r="AB330" s="41"/>
      <x:c r="AC330" s="38"/>
    </x:row>
    <x:row r="331">
      <x:c r="A331" s="22"/>
      <x:c r="B331" s="22"/>
      <x:c r="C331" s="34"/>
      <x:c r="D331" s="34"/>
      <x:c r="E331" s="22"/>
      <x:c r="F331" s="22"/>
      <x:c r="G331" s="22"/>
      <x:c r="H331" s="36"/>
      <x:c r="I331" s="38"/>
      <x:c r="J331" s="38"/>
      <x:c r="K331" s="38"/>
      <x:c r="L331" s="38"/>
      <x:c r="M331" s="38"/>
      <x:c r="N331" s="38"/>
      <x:c r="O331" s="38"/>
      <x:c r="P331" s="38"/>
      <x:c r="Q331" s="38"/>
      <x:c r="R331" s="38"/>
      <x:c r="S331" s="38"/>
      <x:c r="T331" s="38"/>
      <x:c r="U331" s="38"/>
      <x:c r="V331" s="38"/>
      <x:c r="W331" s="34"/>
      <x:c r="X331" s="36"/>
      <x:c r="Y331" s="40"/>
      <x:c r="Z331" s="40"/>
      <x:c r="AA331" s="38"/>
      <x:c r="AB331" s="41"/>
      <x:c r="AC331" s="38"/>
    </x:row>
    <x:row r="332">
      <x:c r="A332" s="22"/>
      <x:c r="B332" s="22"/>
      <x:c r="C332" s="34"/>
      <x:c r="D332" s="34"/>
      <x:c r="E332" s="22"/>
      <x:c r="F332" s="22"/>
      <x:c r="G332" s="22"/>
      <x:c r="H332" s="36"/>
      <x:c r="I332" s="38"/>
      <x:c r="J332" s="38"/>
      <x:c r="K332" s="38"/>
      <x:c r="L332" s="38"/>
      <x:c r="M332" s="38"/>
      <x:c r="N332" s="38"/>
      <x:c r="O332" s="38"/>
      <x:c r="P332" s="38"/>
      <x:c r="Q332" s="38"/>
      <x:c r="R332" s="38"/>
      <x:c r="S332" s="38"/>
      <x:c r="T332" s="38"/>
      <x:c r="U332" s="38"/>
      <x:c r="V332" s="38"/>
      <x:c r="W332" s="34"/>
      <x:c r="X332" s="36"/>
      <x:c r="Y332" s="40"/>
      <x:c r="Z332" s="40"/>
      <x:c r="AA332" s="38"/>
      <x:c r="AB332" s="41"/>
      <x:c r="AC332" s="38"/>
    </x:row>
    <x:row r="333">
      <x:c r="A333" s="22"/>
      <x:c r="B333" s="22"/>
      <x:c r="C333" s="34"/>
      <x:c r="D333" s="34"/>
      <x:c r="E333" s="22"/>
      <x:c r="F333" s="22"/>
      <x:c r="G333" s="22"/>
      <x:c r="H333" s="36"/>
      <x:c r="I333" s="38"/>
      <x:c r="J333" s="38"/>
      <x:c r="K333" s="38"/>
      <x:c r="L333" s="38"/>
      <x:c r="M333" s="38"/>
      <x:c r="N333" s="38"/>
      <x:c r="O333" s="38"/>
      <x:c r="P333" s="38"/>
      <x:c r="Q333" s="38"/>
      <x:c r="R333" s="38"/>
      <x:c r="S333" s="38"/>
      <x:c r="T333" s="38"/>
      <x:c r="U333" s="38"/>
      <x:c r="V333" s="38"/>
      <x:c r="W333" s="34"/>
      <x:c r="X333" s="36"/>
      <x:c r="Y333" s="40"/>
      <x:c r="Z333" s="40"/>
      <x:c r="AA333" s="38"/>
      <x:c r="AB333" s="41"/>
      <x:c r="AC333" s="38"/>
    </x:row>
    <x:row r="334">
      <x:c r="A334" s="22"/>
      <x:c r="B334" s="22"/>
      <x:c r="C334" s="34"/>
      <x:c r="D334" s="34"/>
      <x:c r="E334" s="22"/>
      <x:c r="F334" s="22"/>
      <x:c r="G334" s="22"/>
      <x:c r="H334" s="36"/>
      <x:c r="I334" s="38"/>
      <x:c r="J334" s="38"/>
      <x:c r="K334" s="38"/>
      <x:c r="L334" s="38"/>
      <x:c r="M334" s="38"/>
      <x:c r="N334" s="38"/>
      <x:c r="O334" s="38"/>
      <x:c r="P334" s="38"/>
      <x:c r="Q334" s="38"/>
      <x:c r="R334" s="38"/>
      <x:c r="S334" s="38"/>
      <x:c r="T334" s="38"/>
      <x:c r="U334" s="38"/>
      <x:c r="V334" s="38"/>
      <x:c r="W334" s="34"/>
      <x:c r="X334" s="36"/>
      <x:c r="Y334" s="40"/>
      <x:c r="Z334" s="40"/>
      <x:c r="AA334" s="38"/>
      <x:c r="AB334" s="41"/>
      <x:c r="AC334" s="38"/>
    </x:row>
    <x:row r="335">
      <x:c r="A335" s="22"/>
      <x:c r="B335" s="22"/>
      <x:c r="C335" s="34"/>
      <x:c r="D335" s="34"/>
      <x:c r="E335" s="22"/>
      <x:c r="F335" s="22"/>
      <x:c r="G335" s="22"/>
      <x:c r="H335" s="36"/>
      <x:c r="I335" s="38"/>
      <x:c r="J335" s="38"/>
      <x:c r="K335" s="38"/>
      <x:c r="L335" s="38"/>
      <x:c r="M335" s="38"/>
      <x:c r="N335" s="38"/>
      <x:c r="O335" s="38"/>
      <x:c r="P335" s="38"/>
      <x:c r="Q335" s="38"/>
      <x:c r="R335" s="38"/>
      <x:c r="S335" s="38"/>
      <x:c r="T335" s="38"/>
      <x:c r="U335" s="38"/>
      <x:c r="V335" s="38"/>
      <x:c r="W335" s="34"/>
      <x:c r="X335" s="36"/>
      <x:c r="Y335" s="40"/>
      <x:c r="Z335" s="40"/>
      <x:c r="AA335" s="38"/>
      <x:c r="AB335" s="41"/>
      <x:c r="AC335" s="38"/>
    </x:row>
    <x:row r="336">
      <x:c r="A336" s="22"/>
      <x:c r="B336" s="22"/>
      <x:c r="C336" s="34"/>
      <x:c r="D336" s="34"/>
      <x:c r="E336" s="22"/>
      <x:c r="F336" s="22"/>
      <x:c r="G336" s="22"/>
      <x:c r="H336" s="36"/>
      <x:c r="I336" s="38"/>
      <x:c r="J336" s="38"/>
      <x:c r="K336" s="38"/>
      <x:c r="L336" s="38"/>
      <x:c r="M336" s="38"/>
      <x:c r="N336" s="38"/>
      <x:c r="O336" s="38"/>
      <x:c r="P336" s="38"/>
      <x:c r="Q336" s="38"/>
      <x:c r="R336" s="38"/>
      <x:c r="S336" s="38"/>
      <x:c r="T336" s="38"/>
      <x:c r="U336" s="38"/>
      <x:c r="V336" s="38"/>
      <x:c r="W336" s="34"/>
      <x:c r="X336" s="36"/>
      <x:c r="Y336" s="40"/>
      <x:c r="Z336" s="40"/>
      <x:c r="AA336" s="38"/>
      <x:c r="AB336" s="41"/>
      <x:c r="AC336" s="38"/>
    </x:row>
    <x:row r="337">
      <x:c r="A337" s="43" t="str">
        <x:v>挤塑</x:v>
      </x:c>
      <x:c r="B337" s="43"/>
      <x:c r="C337" s="44"/>
      <x:c r="D337" s="44"/>
      <x:c r="E337" s="43"/>
      <x:c r="F337" s="43"/>
      <x:c r="G337" s="43"/>
      <x:c r="H337" s="45"/>
      <x:c r="I337" s="46"/>
      <x:c r="J337" s="46"/>
      <x:c r="K337" s="46"/>
      <x:c r="L337" s="46"/>
      <x:c r="M337" s="46"/>
      <x:c r="N337" s="46"/>
      <x:c r="O337" s="46"/>
      <x:c r="P337" s="46"/>
      <x:c r="Q337" s="46"/>
      <x:c r="R337" s="46"/>
      <x:c r="S337" s="46"/>
      <x:c r="T337" s="46"/>
      <x:c r="U337" s="46"/>
      <x:c r="V337" s="46"/>
      <x:c r="W337" s="44"/>
      <x:c r="X337" s="45"/>
      <x:c r="Y337" s="47"/>
      <x:c r="Z337" s="47"/>
      <x:c r="AA337" s="46"/>
      <x:c r="AB337" s="48"/>
      <x:c r="AC337" s="46"/>
    </x:row>
    <x:row r="338">
      <x:c r="A338" s="22" t="str">
        <x:v>PX10</x:v>
      </x:c>
      <x:c r="B338" s="22" t="s">
        <x:v>525</x:v>
      </x:c>
      <x:c r="C338" s="34">
        <x:v>1</x:v>
      </x:c>
      <x:c r="D338" s="34" t="n">
        <x:f>IFERROR(60*60/C338,0)</x:f>
        <x:v>3600</x:v>
      </x:c>
      <x:c r="E338" s="22">
        <x:v>10</x:v>
      </x:c>
      <x:c r="F338" s="22">
        <x:v>22</x:v>
      </x:c>
      <x:c r="G338" s="22">
        <x:v>300</x:v>
      </x:c>
      <x:c r="H338" s="36">
        <x:v>1800000</x:v>
      </x:c>
      <x:c r="I338" s="38" t="n">
        <x:f>IFERROR(H338/E338/F338/G338/D338,0)</x:f>
        <x:v>0.007575757575757576</x:v>
      </x:c>
      <x:c r="J338" s="38">
        <x:v>0.62777055000000004</x:v>
      </x:c>
      <x:c r="K338" s="38">
        <x:v>55</x:v>
      </x:c>
      <x:c r="L338" s="38" t="n">
        <x:f>IFERROR(J338*K338/D338,0)</x:f>
        <x:v>0.009590938958333333</x:v>
      </x:c>
      <x:c r="M338" s="38">
        <x:v>3.7</x:v>
      </x:c>
      <x:c r="N338" s="38">
        <x:v>0</x:v>
      </x:c>
      <x:c r="O338" s="38" t="n">
        <x:f>IFERROR(N338*M338/D338,0)</x:f>
        <x:v>0</x:v>
      </x:c>
      <x:c r="P338" s="38" t="n">
        <x:f>O338+L338</x:f>
        <x:v>0.009590938958333333</x:v>
      </x:c>
      <x:c r="Q338" s="38">
        <x:v>0</x:v>
      </x:c>
      <x:c r="R338" s="38">
        <x:v>0</x:v>
      </x:c>
      <x:c r="S338" s="38">
        <x:v>2</x:v>
      </x:c>
      <x:c r="T338" s="38">
        <x:v>0</x:v>
      </x:c>
      <x:c r="U338" s="38">
        <x:v>1</x:v>
      </x:c>
      <x:c r="V338" s="38" t="n">
        <x:f>IFERROR((Q338+R338+S338+T338+U338)/D338,0)</x:f>
        <x:v>0.0008333333333333334</x:v>
      </x:c>
      <x:c r="W338" s="34">
        <x:v>3</x:v>
      </x:c>
      <x:c r="X338" s="36">
        <x:v>6000</x:v>
      </x:c>
      <x:c r="Y338" s="40">
        <x:v>11</x:v>
      </x:c>
      <x:c r="Z338" s="40">
        <x:v>25</x:v>
      </x:c>
      <x:c r="AA338" s="38" t="n">
        <x:f>IFERROR((W338*X338)/Y338/Z338/D338,0)</x:f>
        <x:v>0.01818181818181818</x:v>
      </x:c>
      <x:c r="AB338" s="41">
        <x:v>0.97</x:v>
      </x:c>
      <x:c r="AC338" s="38" t="n">
        <x:f>IFERROR((I338+P338+V338+AA338)/AB338,0)</x:f>
        <x:v>0.03730087427756951</x:v>
      </x:c>
    </x:row>
    <x:row r="339">
      <x:c r="A339" s="22" t="str">
        <x:v>PX20</x:v>
      </x:c>
      <x:c r="B339" s="22" t="s">
        <x:v>526</x:v>
      </x:c>
      <x:c r="C339" s="34">
        <x:v>3</x:v>
      </x:c>
      <x:c r="D339" s="34" t="n">
        <x:f>IFERROR(60*60/C339,0)</x:f>
        <x:v>1200</x:v>
      </x:c>
      <x:c r="E339" s="22">
        <x:v>10</x:v>
      </x:c>
      <x:c r="F339" s="22">
        <x:v>22</x:v>
      </x:c>
      <x:c r="G339" s="22">
        <x:v>300</x:v>
      </x:c>
      <x:c r="H339" s="36">
        <x:v>1200000</x:v>
      </x:c>
      <x:c r="I339" s="38" t="n">
        <x:f>IFERROR(H339/E339/F339/G339/D339,0)</x:f>
        <x:v>0.015151515151515154</x:v>
      </x:c>
      <x:c r="J339" s="38">
        <x:v>0.62777055000000004</x:v>
      </x:c>
      <x:c r="K339" s="38">
        <x:v>40</x:v>
      </x:c>
      <x:c r="L339" s="38" t="n">
        <x:f>IFERROR(J339*K339/D339,0)</x:f>
        <x:v>0.020925685000000003</x:v>
      </x:c>
      <x:c r="M339" s="38">
        <x:v>3.7</x:v>
      </x:c>
      <x:c r="N339" s="38">
        <x:v>0</x:v>
      </x:c>
      <x:c r="O339" s="38" t="n">
        <x:f>IFERROR(N339*M339/D339,0)</x:f>
        <x:v>0</x:v>
      </x:c>
      <x:c r="P339" s="38" t="n">
        <x:f>O339+L339</x:f>
        <x:v>0.020925685000000003</x:v>
      </x:c>
      <x:c r="Q339" s="38">
        <x:v>0</x:v>
      </x:c>
      <x:c r="R339" s="38">
        <x:v>0</x:v>
      </x:c>
      <x:c r="S339" s="38">
        <x:v>2</x:v>
      </x:c>
      <x:c r="T339" s="38">
        <x:v>0</x:v>
      </x:c>
      <x:c r="U339" s="38">
        <x:v>1</x:v>
      </x:c>
      <x:c r="V339" s="38" t="n">
        <x:f>IFERROR((Q339+R339+S339+T339+U339)/D339,0)</x:f>
        <x:v>0.0025</x:v>
      </x:c>
      <x:c r="W339" s="34">
        <x:v>2</x:v>
      </x:c>
      <x:c r="X339" s="36">
        <x:v>6000</x:v>
      </x:c>
      <x:c r="Y339" s="40">
        <x:v>11</x:v>
      </x:c>
      <x:c r="Z339" s="40">
        <x:v>25</x:v>
      </x:c>
      <x:c r="AA339" s="38" t="n">
        <x:f>IFERROR((W339*X339)/Y339/Z339/D339,0)</x:f>
        <x:v>0.03636363636363637</x:v>
      </x:c>
      <x:c r="AB339" s="41">
        <x:v>0.97</x:v>
      </x:c>
      <x:c r="AC339" s="38" t="n">
        <x:f>IFERROR((I339+P339+V339+AA339)/AB339,0)</x:f>
        <x:v>0.07725859434551705</x:v>
      </x:c>
    </x:row>
    <x:row r="340">
      <x:c r="A340" s="22" t="str">
        <x:v>PX30</x:v>
      </x:c>
      <x:c r="B340" s="22" t="s">
        <x:v>527</x:v>
      </x:c>
      <x:c r="C340" s="34">
        <x:v>2</x:v>
      </x:c>
      <x:c r="D340" s="34" t="n">
        <x:f>IFERROR(60*60/C340,0)</x:f>
        <x:v>1800</x:v>
      </x:c>
      <x:c r="E340" s="22">
        <x:v>10</x:v>
      </x:c>
      <x:c r="F340" s="22">
        <x:v>22</x:v>
      </x:c>
      <x:c r="G340" s="22">
        <x:v>300</x:v>
      </x:c>
      <x:c r="H340" s="36">
        <x:v>1500000</x:v>
      </x:c>
      <x:c r="I340" s="38" t="n">
        <x:f>IFERROR(H340/E340/F340/G340/D340,0)</x:f>
        <x:v>0.012626262626262626</x:v>
      </x:c>
      <x:c r="J340" s="38">
        <x:v>0.62777055000000004</x:v>
      </x:c>
      <x:c r="K340" s="38">
        <x:v>45</x:v>
      </x:c>
      <x:c r="L340" s="38" t="n">
        <x:f>IFERROR(J340*K340/D340,0)</x:f>
        <x:v>0.01569426375</x:v>
      </x:c>
      <x:c r="M340" s="38">
        <x:v>3.7</x:v>
      </x:c>
      <x:c r="N340" s="38">
        <x:v>0</x:v>
      </x:c>
      <x:c r="O340" s="38" t="n">
        <x:f>IFERROR(N340*M340/D340,0)</x:f>
        <x:v>0</x:v>
      </x:c>
      <x:c r="P340" s="38" t="n">
        <x:f>O340+L340</x:f>
        <x:v>0.01569426375</x:v>
      </x:c>
      <x:c r="Q340" s="38">
        <x:v>0</x:v>
      </x:c>
      <x:c r="R340" s="38">
        <x:v>0</x:v>
      </x:c>
      <x:c r="S340" s="38">
        <x:v>2</x:v>
      </x:c>
      <x:c r="T340" s="38">
        <x:v>0</x:v>
      </x:c>
      <x:c r="U340" s="38">
        <x:v>1</x:v>
      </x:c>
      <x:c r="V340" s="38" t="n">
        <x:f>IFERROR((Q340+R340+S340+T340+U340)/D340,0)</x:f>
        <x:v>0.0016666666666666668</x:v>
      </x:c>
      <x:c r="W340" s="34">
        <x:v>2</x:v>
      </x:c>
      <x:c r="X340" s="36">
        <x:v>6000</x:v>
      </x:c>
      <x:c r="Y340" s="40">
        <x:v>11</x:v>
      </x:c>
      <x:c r="Z340" s="40">
        <x:v>25</x:v>
      </x:c>
      <x:c r="AA340" s="38" t="n">
        <x:f>IFERROR((W340*X340)/Y340/Z340/D340,0)</x:f>
        <x:v>0.024242424242424246</x:v>
      </x:c>
      <x:c r="AB340" s="41">
        <x:v>0.97</x:v>
      </x:c>
      <x:c r="AC340" s="38" t="n">
        <x:f>IFERROR((I340+P340+V340+AA340)/AB340,0)</x:f>
        <x:v>0.05590682194366345</x:v>
      </x:c>
    </x:row>
    <x:row r="341">
      <x:c r="A341" s="22" t="str">
        <x:v>PX40</x:v>
      </x:c>
      <x:c r="B341" s="22" t="s">
        <x:v>528</x:v>
      </x:c>
      <x:c r="C341" s="34">
        <x:v>1.5</x:v>
      </x:c>
      <x:c r="D341" s="34" t="n">
        <x:f>IFERROR(60*60/C341,0)</x:f>
        <x:v>2400</x:v>
      </x:c>
      <x:c r="E341" s="22">
        <x:v>10</x:v>
      </x:c>
      <x:c r="F341" s="22">
        <x:v>22</x:v>
      </x:c>
      <x:c r="G341" s="22">
        <x:v>300</x:v>
      </x:c>
      <x:c r="H341" s="36">
        <x:v>2500000</x:v>
      </x:c>
      <x:c r="I341" s="38" t="n">
        <x:f>IFERROR(H341/E341/F341/G341/D341,0)</x:f>
        <x:v>0.015782828282828284</x:v>
      </x:c>
      <x:c r="J341" s="38">
        <x:v>0.62777055000000004</x:v>
      </x:c>
      <x:c r="K341" s="38">
        <x:v>75</x:v>
      </x:c>
      <x:c r="L341" s="38" t="n">
        <x:f>IFERROR(J341*K341/D341,0)</x:f>
        <x:v>0.0196178296875</x:v>
      </x:c>
      <x:c r="M341" s="38">
        <x:v>3.7</x:v>
      </x:c>
      <x:c r="N341" s="38">
        <x:v>0</x:v>
      </x:c>
      <x:c r="O341" s="38" t="n">
        <x:f>IFERROR(N341*M341/D341,0)</x:f>
        <x:v>0</x:v>
      </x:c>
      <x:c r="P341" s="38" t="n">
        <x:f>O341+L341</x:f>
        <x:v>0.0196178296875</x:v>
      </x:c>
      <x:c r="Q341" s="38">
        <x:v>0</x:v>
      </x:c>
      <x:c r="R341" s="38">
        <x:v>0</x:v>
      </x:c>
      <x:c r="S341" s="38">
        <x:v>2</x:v>
      </x:c>
      <x:c r="T341" s="38">
        <x:v>0</x:v>
      </x:c>
      <x:c r="U341" s="38">
        <x:v>1</x:v>
      </x:c>
      <x:c r="V341" s="38" t="n">
        <x:f>IFERROR((Q341+R341+S341+T341+U341)/D341,0)</x:f>
        <x:v>0.00125</x:v>
      </x:c>
      <x:c r="W341" s="34">
        <x:v>3</x:v>
      </x:c>
      <x:c r="X341" s="36">
        <x:v>6000</x:v>
      </x:c>
      <x:c r="Y341" s="40">
        <x:v>11</x:v>
      </x:c>
      <x:c r="Z341" s="40">
        <x:v>25</x:v>
      </x:c>
      <x:c r="AA341" s="38" t="n">
        <x:f>IFERROR((W341*X341)/Y341/Z341/D341,0)</x:f>
        <x:v>0.02727272727272727</x:v>
      </x:c>
      <x:c r="AB341" s="41">
        <x:v>0.96</x:v>
      </x:c>
      <x:c r="AC341" s="38" t="n">
        <x:f>IFERROR((I341+P341+V341+AA341)/AB341,0)</x:f>
        <x:v>0.06658685962818288</x:v>
      </x:c>
    </x:row>
    <x:row r="342">
      <x:c r="A342" s="22"/>
      <x:c r="B342" s="22"/>
      <x:c r="C342" s="34"/>
      <x:c r="D342" s="34"/>
      <x:c r="E342" s="22"/>
      <x:c r="F342" s="22"/>
      <x:c r="G342" s="22"/>
      <x:c r="H342" s="36"/>
      <x:c r="I342" s="38"/>
      <x:c r="J342" s="38"/>
      <x:c r="K342" s="38"/>
      <x:c r="L342" s="38"/>
      <x:c r="M342" s="38"/>
      <x:c r="N342" s="38"/>
      <x:c r="O342" s="38"/>
      <x:c r="P342" s="38"/>
      <x:c r="Q342" s="38"/>
      <x:c r="R342" s="38"/>
      <x:c r="S342" s="38"/>
      <x:c r="T342" s="38"/>
      <x:c r="U342" s="38"/>
      <x:c r="V342" s="38"/>
      <x:c r="W342" s="34"/>
      <x:c r="X342" s="36"/>
      <x:c r="Y342" s="40"/>
      <x:c r="Z342" s="40"/>
      <x:c r="AA342" s="38"/>
      <x:c r="AB342" s="41"/>
      <x:c r="AC342" s="38"/>
    </x:row>
    <x:row r="343">
      <x:c r="A343" s="22"/>
      <x:c r="B343" s="22"/>
      <x:c r="C343" s="34"/>
      <x:c r="D343" s="34"/>
      <x:c r="E343" s="22"/>
      <x:c r="F343" s="22"/>
      <x:c r="G343" s="22"/>
      <x:c r="H343" s="36"/>
      <x:c r="I343" s="38"/>
      <x:c r="J343" s="38"/>
      <x:c r="K343" s="38"/>
      <x:c r="L343" s="38"/>
      <x:c r="M343" s="38"/>
      <x:c r="N343" s="38"/>
      <x:c r="O343" s="38"/>
      <x:c r="P343" s="38"/>
      <x:c r="Q343" s="38"/>
      <x:c r="R343" s="38"/>
      <x:c r="S343" s="38"/>
      <x:c r="T343" s="38"/>
      <x:c r="U343" s="38"/>
      <x:c r="V343" s="38"/>
      <x:c r="W343" s="34"/>
      <x:c r="X343" s="36"/>
      <x:c r="Y343" s="40"/>
      <x:c r="Z343" s="40"/>
      <x:c r="AA343" s="38"/>
      <x:c r="AB343" s="41"/>
      <x:c r="AC343" s="38"/>
    </x:row>
    <x:row r="344">
      <x:c r="A344" s="22"/>
      <x:c r="B344" s="22"/>
      <x:c r="C344" s="34"/>
      <x:c r="D344" s="34"/>
      <x:c r="E344" s="22"/>
      <x:c r="F344" s="22"/>
      <x:c r="G344" s="22"/>
      <x:c r="H344" s="36"/>
      <x:c r="I344" s="38"/>
      <x:c r="J344" s="38"/>
      <x:c r="K344" s="38"/>
      <x:c r="L344" s="38"/>
      <x:c r="M344" s="38"/>
      <x:c r="N344" s="38"/>
      <x:c r="O344" s="38"/>
      <x:c r="P344" s="38"/>
      <x:c r="Q344" s="38"/>
      <x:c r="R344" s="38"/>
      <x:c r="S344" s="38"/>
      <x:c r="T344" s="38"/>
      <x:c r="U344" s="38"/>
      <x:c r="V344" s="38"/>
      <x:c r="W344" s="34"/>
      <x:c r="X344" s="36"/>
      <x:c r="Y344" s="40"/>
      <x:c r="Z344" s="40"/>
      <x:c r="AA344" s="38"/>
      <x:c r="AB344" s="41"/>
      <x:c r="AC344" s="38"/>
    </x:row>
    <x:row r="345">
      <x:c r="A345" s="22"/>
      <x:c r="B345" s="22"/>
      <x:c r="C345" s="34"/>
      <x:c r="D345" s="34"/>
      <x:c r="E345" s="22"/>
      <x:c r="F345" s="22"/>
      <x:c r="G345" s="22"/>
      <x:c r="H345" s="36"/>
      <x:c r="I345" s="38"/>
      <x:c r="J345" s="38"/>
      <x:c r="K345" s="38"/>
      <x:c r="L345" s="38"/>
      <x:c r="M345" s="38"/>
      <x:c r="N345" s="38"/>
      <x:c r="O345" s="38"/>
      <x:c r="P345" s="38"/>
      <x:c r="Q345" s="38"/>
      <x:c r="R345" s="38"/>
      <x:c r="S345" s="38"/>
      <x:c r="T345" s="38"/>
      <x:c r="U345" s="38"/>
      <x:c r="V345" s="38"/>
      <x:c r="W345" s="34"/>
      <x:c r="X345" s="36"/>
      <x:c r="Y345" s="40"/>
      <x:c r="Z345" s="40"/>
      <x:c r="AA345" s="38"/>
      <x:c r="AB345" s="41"/>
      <x:c r="AC345" s="38"/>
    </x:row>
    <x:row r="346">
      <x:c r="A346" s="43" t="str">
        <x:v>3D折弯</x:v>
      </x:c>
      <x:c r="B346" s="43"/>
      <x:c r="C346" s="44"/>
      <x:c r="D346" s="44"/>
      <x:c r="E346" s="43"/>
      <x:c r="F346" s="43"/>
      <x:c r="G346" s="43"/>
      <x:c r="H346" s="45"/>
      <x:c r="I346" s="46"/>
      <x:c r="J346" s="46"/>
      <x:c r="K346" s="46"/>
      <x:c r="L346" s="46"/>
      <x:c r="M346" s="46"/>
      <x:c r="N346" s="46"/>
      <x:c r="O346" s="46"/>
      <x:c r="P346" s="46"/>
      <x:c r="Q346" s="46"/>
      <x:c r="R346" s="46"/>
      <x:c r="S346" s="46"/>
      <x:c r="T346" s="46"/>
      <x:c r="U346" s="46"/>
      <x:c r="V346" s="46"/>
      <x:c r="W346" s="44"/>
      <x:c r="X346" s="45"/>
      <x:c r="Y346" s="47"/>
      <x:c r="Z346" s="47"/>
      <x:c r="AA346" s="46"/>
      <x:c r="AB346" s="48"/>
      <x:c r="AC346" s="46"/>
    </x:row>
    <x:row r="347">
      <x:c r="A347" s="22" t="str">
        <x:v>BD10</x:v>
      </x:c>
      <x:c r="B347" s="22" t="s">
        <x:v>529</x:v>
      </x:c>
      <x:c r="C347" s="34">
        <x:v>15</x:v>
      </x:c>
      <x:c r="D347" s="34" t="n">
        <x:f>IFERROR(60*60/C347,0)</x:f>
        <x:v>240</x:v>
      </x:c>
      <x:c r="E347" s="22">
        <x:v>8</x:v>
      </x:c>
      <x:c r="F347" s="22">
        <x:v>22</x:v>
      </x:c>
      <x:c r="G347" s="22">
        <x:v>300</x:v>
      </x:c>
      <x:c r="H347" s="36">
        <x:v>650000</x:v>
      </x:c>
      <x:c r="I347" s="38" t="n">
        <x:f>IFERROR(H347/E347/F347/G347/D347,0)</x:f>
        <x:v>0.05129419191919192</x:v>
      </x:c>
      <x:c r="J347" s="38">
        <x:v>0.62777055000000004</x:v>
      </x:c>
      <x:c r="K347" s="38">
        <x:v>8</x:v>
      </x:c>
      <x:c r="L347" s="38" t="n">
        <x:f>IFERROR(J347*K347/D347,0)</x:f>
        <x:v>0.020925685000000003</x:v>
      </x:c>
      <x:c r="M347" s="38">
        <x:v>3.7</x:v>
      </x:c>
      <x:c r="N347" s="38">
        <x:v>0</x:v>
      </x:c>
      <x:c r="O347" s="38" t="n">
        <x:f>IFERROR(N347*M347/D347,0)</x:f>
        <x:v>0</x:v>
      </x:c>
      <x:c r="P347" s="38" t="n">
        <x:f>O347+L347</x:f>
        <x:v>0.020925685000000003</x:v>
      </x:c>
      <x:c r="Q347" s="38">
        <x:v>1</x:v>
      </x:c>
      <x:c r="R347" s="38">
        <x:v>0</x:v>
      </x:c>
      <x:c r="S347" s="38">
        <x:v>0</x:v>
      </x:c>
      <x:c r="T347" s="38">
        <x:v>2</x:v>
      </x:c>
      <x:c r="U347" s="38">
        <x:v>1</x:v>
      </x:c>
      <x:c r="V347" s="38" t="n">
        <x:f>IFERROR((Q347+R347+S347+T347+U347)/D347,0)</x:f>
        <x:v>0.016666666666666666</x:v>
      </x:c>
      <x:c r="W347" s="34">
        <x:v>1</x:v>
      </x:c>
      <x:c r="X347" s="36">
        <x:v>6000</x:v>
      </x:c>
      <x:c r="Y347" s="40">
        <x:v>11</x:v>
      </x:c>
      <x:c r="Z347" s="40">
        <x:v>25</x:v>
      </x:c>
      <x:c r="AA347" s="38" t="n">
        <x:f>IFERROR((W347*X347)/Y347/Z347/D347,0)</x:f>
        <x:v>0.09090909090909091</x:v>
      </x:c>
      <x:c r="AB347" s="41">
        <x:v>0.98499999999999999</x:v>
      </x:c>
      <x:c r="AC347" s="38" t="n">
        <x:f>IFERROR((I347+P347+V347+AA347)/AB347,0)</x:f>
        <x:v>0.18253363908116702</x:v>
      </x:c>
    </x:row>
    <x:row r="348">
      <x:c r="A348" s="22" t="str">
        <x:v>BD20</x:v>
      </x:c>
      <x:c r="B348" s="22" t="s">
        <x:v>530</x:v>
      </x:c>
      <x:c r="C348" s="34">
        <x:v>25</x:v>
      </x:c>
      <x:c r="D348" s="34" t="n">
        <x:f>IFERROR(60*60/C348,0)</x:f>
        <x:v>144</x:v>
      </x:c>
      <x:c r="E348" s="22">
        <x:v>8</x:v>
      </x:c>
      <x:c r="F348" s="22">
        <x:v>22</x:v>
      </x:c>
      <x:c r="G348" s="22">
        <x:v>300</x:v>
      </x:c>
      <x:c r="H348" s="36">
        <x:v>850000</x:v>
      </x:c>
      <x:c r="I348" s="38" t="n">
        <x:f>IFERROR(H348/E348/F348/G348/D348,0)</x:f>
        <x:v>0.11179503367003368</x:v>
      </x:c>
      <x:c r="J348" s="38">
        <x:v>0.62777055000000004</x:v>
      </x:c>
      <x:c r="K348" s="38">
        <x:v>12</x:v>
      </x:c>
      <x:c r="L348" s="38" t="n">
        <x:f>IFERROR(J348*K348/D348,0)</x:f>
        <x:v>0.0523142125</x:v>
      </x:c>
      <x:c r="M348" s="38">
        <x:v>3.7</x:v>
      </x:c>
      <x:c r="N348" s="38">
        <x:v>0</x:v>
      </x:c>
      <x:c r="O348" s="38" t="n">
        <x:f>IFERROR(N348*M348/D348,0)</x:f>
        <x:v>0</x:v>
      </x:c>
      <x:c r="P348" s="38" t="n">
        <x:f>O348+L348</x:f>
        <x:v>0.0523142125</x:v>
      </x:c>
      <x:c r="Q348" s="38">
        <x:v>1</x:v>
      </x:c>
      <x:c r="R348" s="38">
        <x:v>0</x:v>
      </x:c>
      <x:c r="S348" s="38">
        <x:v>0</x:v>
      </x:c>
      <x:c r="T348" s="38">
        <x:v>2</x:v>
      </x:c>
      <x:c r="U348" s="38">
        <x:v>1</x:v>
      </x:c>
      <x:c r="V348" s="38" t="n">
        <x:f>IFERROR((Q348+R348+S348+T348+U348)/D348,0)</x:f>
        <x:v>0.027777777777777776</x:v>
      </x:c>
      <x:c r="W348" s="34">
        <x:v>1</x:v>
      </x:c>
      <x:c r="X348" s="36">
        <x:v>6000</x:v>
      </x:c>
      <x:c r="Y348" s="40">
        <x:v>11</x:v>
      </x:c>
      <x:c r="Z348" s="40">
        <x:v>25</x:v>
      </x:c>
      <x:c r="AA348" s="38" t="n">
        <x:f>IFERROR((W348*X348)/Y348/Z348/D348,0)</x:f>
        <x:v>0.15151515151515152</x:v>
      </x:c>
      <x:c r="AB348" s="41">
        <x:v>0.98</x:v>
      </x:c>
      <x:c r="AC348" s="38" t="n">
        <x:f>IFERROR((I348+P348+V348+AA348)/AB348,0)</x:f>
        <x:v>0.3504103831254725</x:v>
      </x:c>
    </x:row>
    <x:row r="349">
      <x:c r="A349" s="22" t="str">
        <x:v>BD30</x:v>
      </x:c>
      <x:c r="B349" s="22" t="s">
        <x:v>531</x:v>
      </x:c>
      <x:c r="C349" s="34">
        <x:v>20</x:v>
      </x:c>
      <x:c r="D349" s="34" t="n">
        <x:f>IFERROR(60*60/C349,0)</x:f>
        <x:v>180</x:v>
      </x:c>
      <x:c r="E349" s="22">
        <x:v>8</x:v>
      </x:c>
      <x:c r="F349" s="22">
        <x:v>22</x:v>
      </x:c>
      <x:c r="G349" s="22">
        <x:v>300</x:v>
      </x:c>
      <x:c r="H349" s="36">
        <x:v>750000</x:v>
      </x:c>
      <x:c r="I349" s="38" t="n">
        <x:f>IFERROR(H349/E349/F349/G349/D349,0)</x:f>
        <x:v>0.07891414141414141</x:v>
      </x:c>
      <x:c r="J349" s="38">
        <x:v>0.62777055000000004</x:v>
      </x:c>
      <x:c r="K349" s="38">
        <x:v>10</x:v>
      </x:c>
      <x:c r="L349" s="38" t="n">
        <x:f>IFERROR(J349*K349/D349,0)</x:f>
        <x:v>0.03487614166666667</x:v>
      </x:c>
      <x:c r="M349" s="38">
        <x:v>3.7</x:v>
      </x:c>
      <x:c r="N349" s="38">
        <x:v>0</x:v>
      </x:c>
      <x:c r="O349" s="38" t="n">
        <x:f>IFERROR(N349*M349/D349,0)</x:f>
        <x:v>0</x:v>
      </x:c>
      <x:c r="P349" s="38" t="n">
        <x:f>O349+L349</x:f>
        <x:v>0.03487614166666667</x:v>
      </x:c>
      <x:c r="Q349" s="38">
        <x:v>1</x:v>
      </x:c>
      <x:c r="R349" s="38">
        <x:v>0</x:v>
      </x:c>
      <x:c r="S349" s="38">
        <x:v>0</x:v>
      </x:c>
      <x:c r="T349" s="38">
        <x:v>2</x:v>
      </x:c>
      <x:c r="U349" s="38">
        <x:v>1</x:v>
      </x:c>
      <x:c r="V349" s="38" t="n">
        <x:f>IFERROR((Q349+R349+S349+T349+U349)/D349,0)</x:f>
        <x:v>0.022222222222222223</x:v>
      </x:c>
      <x:c r="W349" s="34">
        <x:v>1</x:v>
      </x:c>
      <x:c r="X349" s="36">
        <x:v>6000</x:v>
      </x:c>
      <x:c r="Y349" s="40">
        <x:v>11</x:v>
      </x:c>
      <x:c r="Z349" s="40">
        <x:v>25</x:v>
      </x:c>
      <x:c r="AA349" s="38" t="n">
        <x:f>IFERROR((W349*X349)/Y349/Z349/D349,0)</x:f>
        <x:v>0.12121212121212123</x:v>
      </x:c>
      <x:c r="AB349" s="41">
        <x:v>0.98</x:v>
      </x:c>
      <x:c r="AC349" s="38" t="n">
        <x:f>IFERROR((I349+P349+V349+AA349)/AB349,0)</x:f>
        <x:v>0.2624741086889302</x:v>
      </x:c>
    </x:row>
    <x:row r="350">
      <x:c r="A350" s="22" t="str">
        <x:v>BD40</x:v>
      </x:c>
      <x:c r="B350" s="22" t="s">
        <x:v>532</x:v>
      </x:c>
      <x:c r="C350" s="34">
        <x:v>5</x:v>
      </x:c>
      <x:c r="D350" s="34" t="n">
        <x:f>IFERROR(60*60/C350,0)</x:f>
        <x:v>720</x:v>
      </x:c>
      <x:c r="E350" s="22">
        <x:v>8</x:v>
      </x:c>
      <x:c r="F350" s="22">
        <x:v>22</x:v>
      </x:c>
      <x:c r="G350" s="22">
        <x:v>300</x:v>
      </x:c>
      <x:c r="H350" s="36">
        <x:v>450000</x:v>
      </x:c>
      <x:c r="I350" s="38" t="n">
        <x:f>IFERROR(H350/E350/F350/G350/D350,0)</x:f>
        <x:v>0.011837121212121214</x:v>
      </x:c>
      <x:c r="J350" s="38">
        <x:v>0.62777055000000004</x:v>
      </x:c>
      <x:c r="K350" s="38">
        <x:v>6</x:v>
      </x:c>
      <x:c r="L350" s="38" t="n">
        <x:f>IFERROR(J350*K350/D350,0)</x:f>
        <x:v>0.00523142125</x:v>
      </x:c>
      <x:c r="M350" s="38">
        <x:v>3.7</x:v>
      </x:c>
      <x:c r="N350" s="38">
        <x:v>0</x:v>
      </x:c>
      <x:c r="O350" s="38" t="n">
        <x:f>IFERROR(N350*M350/D350,0)</x:f>
        <x:v>0</x:v>
      </x:c>
      <x:c r="P350" s="38" t="n">
        <x:f>O350+L350</x:f>
        <x:v>0.00523142125</x:v>
      </x:c>
      <x:c r="Q350" s="38">
        <x:v>1</x:v>
      </x:c>
      <x:c r="R350" s="38">
        <x:v>0</x:v>
      </x:c>
      <x:c r="S350" s="38">
        <x:v>0</x:v>
      </x:c>
      <x:c r="T350" s="38">
        <x:v>2</x:v>
      </x:c>
      <x:c r="U350" s="38">
        <x:v>1</x:v>
      </x:c>
      <x:c r="V350" s="38" t="n">
        <x:f>IFERROR((Q350+R350+S350+T350+U350)/D350,0)</x:f>
        <x:v>0.005555555555555556</x:v>
      </x:c>
      <x:c r="W350" s="34">
        <x:v>1</x:v>
      </x:c>
      <x:c r="X350" s="36">
        <x:v>6000</x:v>
      </x:c>
      <x:c r="Y350" s="40">
        <x:v>11</x:v>
      </x:c>
      <x:c r="Z350" s="40">
        <x:v>25</x:v>
      </x:c>
      <x:c r="AA350" s="38" t="n">
        <x:f>IFERROR((W350*X350)/Y350/Z350/D350,0)</x:f>
        <x:v>0.030303030303030307</x:v>
      </x:c>
      <x:c r="AB350" s="41">
        <x:v>0.98499999999999999</x:v>
      </x:c>
      <x:c r="AC350" s="38" t="n">
        <x:f>IFERROR((I350+P350+V350+AA350)/AB350,0)</x:f>
        <x:v>0.053733125198687386</x:v>
      </x:c>
    </x:row>
    <x:row r="351">
      <x:c r="A351"/>
    </x:row>
    <x:row r="352">
      <x:c r="A352" s="49" t="str">
        <x:v>铸造工艺（非压铸）</x:v>
      </x:c>
      <x:c r="B352" s="49"/>
      <x:c r="C352" s="49"/>
      <x:c r="D352" s="49"/>
      <x:c r="E352" s="49"/>
      <x:c r="F352" s="49"/>
      <x:c r="G352" s="49"/>
      <x:c r="H352" s="49"/>
      <x:c r="I352" s="49"/>
      <x:c r="J352" s="49"/>
      <x:c r="K352" s="49"/>
      <x:c r="L352" s="49"/>
      <x:c r="M352" s="49"/>
      <x:c r="N352" s="49"/>
      <x:c r="O352" s="49"/>
      <x:c r="P352" s="49"/>
      <x:c r="Q352" s="49"/>
      <x:c r="R352" s="49"/>
      <x:c r="S352" s="49"/>
      <x:c r="T352" s="49"/>
      <x:c r="U352" s="49"/>
      <x:c r="V352" s="49"/>
      <x:c r="W352" s="49"/>
      <x:c r="X352" s="49"/>
      <x:c r="Y352" s="49"/>
      <x:c r="Z352" s="49"/>
      <x:c r="AA352" s="49"/>
      <x:c r="AB352" s="49"/>
      <x:c r="AC352" s="49"/>
    </x:row>
    <x:row r="353">
      <x:c r="A353" s="22" t="str">
        <x:v>CA10</x:v>
      </x:c>
      <x:c r="B353" s="22" t="s">
        <x:v>533</x:v>
      </x:c>
      <x:c r="C353" s="22">
        <x:v>90</x:v>
      </x:c>
      <x:c r="D353" s="22" t="n">
        <x:f>IFERROR(60*60/C353,0)</x:f>
        <x:v>40</x:v>
      </x:c>
      <x:c r="E353" s="22">
        <x:v>10</x:v>
      </x:c>
      <x:c r="F353" s="22">
        <x:v>22</x:v>
      </x:c>
      <x:c r="G353" s="22">
        <x:v>300</x:v>
      </x:c>
      <x:c r="H353" s="22">
        <x:v>1800000</x:v>
      </x:c>
      <x:c r="I353" s="22" t="n">
        <x:f>IFERROR(H353/E353/F353/G353/D353,0)</x:f>
        <x:v>0.6818181818181819</x:v>
      </x:c>
      <x:c r="J353" s="22">
        <x:v>0.62777055000000004</x:v>
      </x:c>
      <x:c r="K353" s="22">
        <x:v>45</x:v>
      </x:c>
      <x:c r="L353" s="22" t="n">
        <x:f>IFERROR(J353*K353/D353,0)</x:f>
        <x:v>0.7062418687500001</x:v>
      </x:c>
      <x:c r="M353" s="22">
        <x:v>3.7</x:v>
      </x:c>
      <x:c r="N353" s="22">
        <x:v>10</x:v>
      </x:c>
      <x:c r="O353" s="22" t="n">
        <x:f>IFERROR(N353*M353/D353,0)</x:f>
        <x:v>0.925</x:v>
      </x:c>
      <x:c r="P353" s="22" t="n">
        <x:f>O353+L353</x:f>
        <x:v>1.63124186875</x:v>
      </x:c>
      <x:c r="Q353" s="22">
        <x:v>1</x:v>
      </x:c>
      <x:c r="R353" s="22">
        <x:v>0</x:v>
      </x:c>
      <x:c r="S353" s="22">
        <x:v>2</x:v>
      </x:c>
      <x:c r="T353" s="22">
        <x:v>3</x:v>
      </x:c>
      <x:c r="U353" s="22">
        <x:v>2</x:v>
      </x:c>
      <x:c r="V353" s="22" t="n">
        <x:f>IFERROR((Q353+R353+S353+T353+U353)/D353,0)</x:f>
        <x:v>0.2</x:v>
      </x:c>
      <x:c r="W353" s="22">
        <x:v>3</x:v>
      </x:c>
      <x:c r="X353" s="22">
        <x:v>6000</x:v>
      </x:c>
      <x:c r="Y353" s="22">
        <x:v>11</x:v>
      </x:c>
      <x:c r="Z353" s="22">
        <x:v>25</x:v>
      </x:c>
      <x:c r="AA353" s="22" t="n">
        <x:f>IFERROR((W353*X353)/Y353/Z353/D353,0)</x:f>
        <x:v>1.6363636363636362</x:v>
      </x:c>
      <x:c r="AB353" s="22">
        <x:v>0.92</x:v>
      </x:c>
      <x:c r="AC353" s="22" t="n">
        <x:f>IFERROR((I353+P353+V353+AA353)/AB353,0)</x:f>
        <x:v>4.5102431379693675</x:v>
      </x:c>
    </x:row>
    <x:row r="354">
      <x:c r="A354" s="22" t="str">
        <x:v>CA20</x:v>
      </x:c>
      <x:c r="B354" s="22" t="s">
        <x:v>534</x:v>
      </x:c>
      <x:c r="C354" s="22">
        <x:v>120</x:v>
      </x:c>
      <x:c r="D354" s="22" t="n">
        <x:f>IFERROR(60*60/C354,0)</x:f>
        <x:v>30</x:v>
      </x:c>
      <x:c r="E354" s="22">
        <x:v>10</x:v>
      </x:c>
      <x:c r="F354" s="22">
        <x:v>22</x:v>
      </x:c>
      <x:c r="G354" s="22">
        <x:v>300</x:v>
      </x:c>
      <x:c r="H354" s="22">
        <x:v>3500000</x:v>
      </x:c>
      <x:c r="I354" s="22" t="n">
        <x:f>IFERROR(H354/E354/F354/G354/D354,0)</x:f>
        <x:v>1.7676767676767677</x:v>
      </x:c>
      <x:c r="J354" s="22">
        <x:v>0.62777055000000004</x:v>
      </x:c>
      <x:c r="K354" s="22">
        <x:v>80</x:v>
      </x:c>
      <x:c r="L354" s="22" t="n">
        <x:f>IFERROR(J354*K354/D354,0)</x:f>
        <x:v>1.6740548000000002</x:v>
      </x:c>
      <x:c r="M354" s="22">
        <x:v>3.7</x:v>
      </x:c>
      <x:c r="N354" s="22">
        <x:v>12</x:v>
      </x:c>
      <x:c r="O354" s="22" t="n">
        <x:f>IFERROR(N354*M354/D354,0)</x:f>
        <x:v>1.4800000000000002</x:v>
      </x:c>
      <x:c r="P354" s="22" t="n">
        <x:f>O354+L354</x:f>
        <x:v>3.1540548000000004</x:v>
      </x:c>
      <x:c r="Q354" s="22">
        <x:v>1</x:v>
      </x:c>
      <x:c r="R354" s="22">
        <x:v>0</x:v>
      </x:c>
      <x:c r="S354" s="22">
        <x:v>3</x:v>
      </x:c>
      <x:c r="T354" s="22">
        <x:v>4</x:v>
      </x:c>
      <x:c r="U354" s="22">
        <x:v>2</x:v>
      </x:c>
      <x:c r="V354" s="22" t="n">
        <x:f>IFERROR((Q354+R354+S354+T354+U354)/D354,0)</x:f>
        <x:v>0.3333333333333333</x:v>
      </x:c>
      <x:c r="W354" s="22">
        <x:v>4</x:v>
      </x:c>
      <x:c r="X354" s="22">
        <x:v>6000</x:v>
      </x:c>
      <x:c r="Y354" s="22">
        <x:v>11</x:v>
      </x:c>
      <x:c r="Z354" s="22">
        <x:v>25</x:v>
      </x:c>
      <x:c r="AA354" s="22" t="n">
        <x:f>IFERROR((W354*X354)/Y354/Z354/D354,0)</x:f>
        <x:v>2.909090909090909</x:v>
      </x:c>
      <x:c r="AB354" s="22">
        <x:v>0.93</x:v>
      </x:c>
      <x:c r="AC354" s="22" t="n">
        <x:f>IFERROR((I354+P354+V354+AA354)/AB354,0)</x:f>
        <x:v>8.778662161398936</x:v>
      </x:c>
    </x:row>
    <x:row r="355">
      <x:c r="A355" s="22" t="str">
        <x:v>CA30</x:v>
      </x:c>
      <x:c r="B355" s="22" t="s">
        <x:v>535</x:v>
      </x:c>
      <x:c r="C355" s="22">
        <x:v>180</x:v>
      </x:c>
      <x:c r="D355" s="22" t="n">
        <x:f>IFERROR(60*60/C355,0)</x:f>
        <x:v>20</x:v>
      </x:c>
      <x:c r="E355" s="22">
        <x:v>10</x:v>
      </x:c>
      <x:c r="F355" s="22">
        <x:v>22</x:v>
      </x:c>
      <x:c r="G355" s="22">
        <x:v>300</x:v>
      </x:c>
      <x:c r="H355" s="22">
        <x:v>2200000</x:v>
      </x:c>
      <x:c r="I355" s="22" t="n">
        <x:f>IFERROR(H355/E355/F355/G355/D355,0)</x:f>
        <x:v>1.6666666666666667</x:v>
      </x:c>
      <x:c r="J355" s="22">
        <x:v>0.62777055000000004</x:v>
      </x:c>
      <x:c r="K355" s="22">
        <x:v>60</x:v>
      </x:c>
      <x:c r="L355" s="22" t="n">
        <x:f>IFERROR(J355*K355/D355,0)</x:f>
        <x:v>1.8833116500000002</x:v>
      </x:c>
      <x:c r="M355" s="22">
        <x:v>3.7</x:v>
      </x:c>
      <x:c r="N355" s="22">
        <x:v>15</x:v>
      </x:c>
      <x:c r="O355" s="22" t="n">
        <x:f>IFERROR(N355*M355/D355,0)</x:f>
        <x:v>2.775</x:v>
      </x:c>
      <x:c r="P355" s="22" t="n">
        <x:f>O355+L355</x:f>
        <x:v>4.65831165</x:v>
      </x:c>
      <x:c r="Q355" s="22">
        <x:v>0</x:v>
      </x:c>
      <x:c r="R355" s="22">
        <x:v>0</x:v>
      </x:c>
      <x:c r="S355" s="22">
        <x:v>3</x:v>
      </x:c>
      <x:c r="T355" s="22">
        <x:v>5</x:v>
      </x:c>
      <x:c r="U355" s="22">
        <x:v>4</x:v>
      </x:c>
      <x:c r="V355" s="22" t="n">
        <x:f>IFERROR((Q355+R355+S355+T355+U355)/D355,0)</x:f>
        <x:v>0.6</x:v>
      </x:c>
      <x:c r="W355" s="22">
        <x:v>5</x:v>
      </x:c>
      <x:c r="X355" s="22">
        <x:v>6000</x:v>
      </x:c>
      <x:c r="Y355" s="22">
        <x:v>11</x:v>
      </x:c>
      <x:c r="Z355" s="22">
        <x:v>25</x:v>
      </x:c>
      <x:c r="AA355" s="22" t="n">
        <x:f>IFERROR((W355*X355)/Y355/Z355/D355,0)</x:f>
        <x:v>5.454545454545455</x:v>
      </x:c>
      <x:c r="AB355" s="22">
        <x:v>0.88</x:v>
      </x:c>
      <x:c r="AC355" s="22" t="n">
        <x:f>IFERROR((I355+P355+V355+AA355)/AB355,0)</x:f>
        <x:v>14.067640649104682</x:v>
      </x:c>
    </x:row>
    <x:row r="356">
      <x:c r="A356" s="22" t="str">
        <x:v>CA40</x:v>
      </x:c>
      <x:c r="B356" s="22" t="s">
        <x:v>536</x:v>
      </x:c>
      <x:c r="C356" s="22">
        <x:v>240</x:v>
      </x:c>
      <x:c r="D356" s="22" t="n">
        <x:f>IFERROR(60*60/C356,0)</x:f>
        <x:v>15</x:v>
      </x:c>
      <x:c r="E356" s="22">
        <x:v>12</x:v>
      </x:c>
      <x:c r="F356" s="22">
        <x:v>22</x:v>
      </x:c>
      <x:c r="G356" s="22">
        <x:v>300</x:v>
      </x:c>
      <x:c r="H356" s="22">
        <x:v>4500000</x:v>
      </x:c>
      <x:c r="I356" s="22" t="n">
        <x:f>IFERROR(H356/E356/F356/G356/D356,0)</x:f>
        <x:v>3.7878787878787876</x:v>
      </x:c>
      <x:c r="J356" s="22">
        <x:v>0.62777055000000004</x:v>
      </x:c>
      <x:c r="K356" s="22">
        <x:v>100</x:v>
      </x:c>
      <x:c r="L356" s="22" t="n">
        <x:f>IFERROR(J356*K356/D356,0)</x:f>
        <x:v>4.185137</x:v>
      </x:c>
      <x:c r="M356" s="22">
        <x:v>3.7</x:v>
      </x:c>
      <x:c r="N356" s="22">
        <x:v>20</x:v>
      </x:c>
      <x:c r="O356" s="22" t="n">
        <x:f>IFERROR(N356*M356/D356,0)</x:f>
        <x:v>4.933333333333334</x:v>
      </x:c>
      <x:c r="P356" s="22" t="n">
        <x:f>O356+L356</x:f>
        <x:v>9.118470333333335</x:v>
      </x:c>
      <x:c r="Q356" s="22">
        <x:v>0</x:v>
      </x:c>
      <x:c r="R356" s="22">
        <x:v>0</x:v>
      </x:c>
      <x:c r="S356" s="22">
        <x:v>5</x:v>
      </x:c>
      <x:c r="T356" s="22">
        <x:v>8</x:v>
      </x:c>
      <x:c r="U356" s="22">
        <x:v>5</x:v>
      </x:c>
      <x:c r="V356" s="22" t="n">
        <x:f>IFERROR((Q356+R356+S356+T356+U356)/D356,0)</x:f>
        <x:v>1.2</x:v>
      </x:c>
      <x:c r="W356" s="22">
        <x:v>6</x:v>
      </x:c>
      <x:c r="X356" s="22">
        <x:v>6000</x:v>
      </x:c>
      <x:c r="Y356" s="22">
        <x:v>11</x:v>
      </x:c>
      <x:c r="Z356" s="22">
        <x:v>25</x:v>
      </x:c>
      <x:c r="AA356" s="22" t="n">
        <x:f>IFERROR((W356*X356)/Y356/Z356/D356,0)</x:f>
        <x:v>8.727272727272727</x:v>
      </x:c>
      <x:c r="AB356" s="22">
        <x:v>0.85</x:v>
      </x:c>
      <x:c r="AC356" s="22" t="n">
        <x:f>IFERROR((I356+P356+V356+AA356)/AB356,0)</x:f>
        <x:v>26.86308452762923</x:v>
      </x:c>
    </x:row>
    <x:row r="357">
      <x:c r="A357" s="22" t="str">
        <x:v>CA50</x:v>
      </x:c>
      <x:c r="B357" s="22" t="s">
        <x:v>537</x:v>
      </x:c>
      <x:c r="C357" s="22">
        <x:v>35</x:v>
      </x:c>
      <x:c r="D357" s="22" t="n">
        <x:f>IFERROR(60*60/C357,0)</x:f>
        <x:v>102.85714285714286</x:v>
      </x:c>
      <x:c r="E357" s="22">
        <x:v>8</x:v>
      </x:c>
      <x:c r="F357" s="22">
        <x:v>22</x:v>
      </x:c>
      <x:c r="G357" s="22">
        <x:v>300</x:v>
      </x:c>
      <x:c r="H357" s="22">
        <x:v>650000</x:v>
      </x:c>
      <x:c r="I357" s="22" t="n">
        <x:f>IFERROR(H357/E357/F357/G357/D357,0)</x:f>
        <x:v>0.11968644781144781</x:v>
      </x:c>
      <x:c r="J357" s="22">
        <x:v>0.62777055000000004</x:v>
      </x:c>
      <x:c r="K357" s="22">
        <x:v>18</x:v>
      </x:c>
      <x:c r="L357" s="22" t="n">
        <x:f>IFERROR(J357*K357/D357,0)</x:f>
        <x:v>0.10985984625</x:v>
      </x:c>
      <x:c r="M357" s="22">
        <x:v>3.7</x:v>
      </x:c>
      <x:c r="N357" s="22">
        <x:v>0</x:v>
      </x:c>
      <x:c r="O357" s="22" t="n">
        <x:f>IFERROR(N357*M357/D357,0)</x:f>
        <x:v>0</x:v>
      </x:c>
      <x:c r="P357" s="22" t="n">
        <x:f>O357+L357</x:f>
        <x:v>0.10985984625</x:v>
      </x:c>
      <x:c r="Q357" s="22">
        <x:v>0</x:v>
      </x:c>
      <x:c r="R357" s="22">
        <x:v>0</x:v>
      </x:c>
      <x:c r="S357" s="22">
        <x:v>2</x:v>
      </x:c>
      <x:c r="T357" s="22">
        <x:v>3</x:v>
      </x:c>
      <x:c r="U357" s="22">
        <x:v>2</x:v>
      </x:c>
      <x:c r="V357" s="22" t="n">
        <x:f>IFERROR((Q357+R357+S357+T357+U357)/D357,0)</x:f>
        <x:v>0.06805555555555555</x:v>
      </x:c>
      <x:c r="W357" s="22">
        <x:v>2</x:v>
      </x:c>
      <x:c r="X357" s="22">
        <x:v>6000</x:v>
      </x:c>
      <x:c r="Y357" s="22">
        <x:v>11</x:v>
      </x:c>
      <x:c r="Z357" s="22">
        <x:v>25</x:v>
      </x:c>
      <x:c r="AA357" s="22" t="n">
        <x:f>IFERROR((W357*X357)/Y357/Z357/D357,0)</x:f>
        <x:v>0.42424242424242425</x:v>
      </x:c>
      <x:c r="AB357" s="22">
        <x:v>0.97</x:v>
      </x:c>
      <x:c r="AC357" s="22" t="n">
        <x:f>IFERROR((I357+P357+V357+AA357)/AB357,0)</x:f>
        <x:v>0.7441693544942553</x:v>
      </x:c>
    </x:row>
    <x:row r="358">
      <x:c r="A358" s="22"/>
      <x:c r="B358" s="22"/>
      <x:c r="C358" s="22"/>
      <x:c r="D358" s="22"/>
      <x:c r="E358" s="22"/>
      <x:c r="F358" s="22"/>
      <x:c r="G358" s="22"/>
      <x:c r="H358" s="22"/>
      <x:c r="I358" s="22"/>
      <x:c r="J358" s="22"/>
      <x:c r="K358" s="22"/>
      <x:c r="L358" s="22"/>
      <x:c r="M358" s="22"/>
      <x:c r="N358" s="22"/>
      <x:c r="O358" s="22"/>
      <x:c r="P358" s="22"/>
      <x:c r="Q358" s="22"/>
      <x:c r="R358" s="22"/>
      <x:c r="S358" s="22"/>
      <x:c r="T358" s="22"/>
      <x:c r="U358" s="22"/>
      <x:c r="V358" s="22"/>
      <x:c r="W358" s="22"/>
      <x:c r="X358" s="22"/>
      <x:c r="Y358" s="22"/>
      <x:c r="Z358" s="22"/>
      <x:c r="AA358" s="22"/>
      <x:c r="AB358" s="22"/>
      <x:c r="AC358" s="22"/>
    </x:row>
    <x:row r="359">
      <x:c r="A359" s="49" t="str">
        <x:v>粉末冶金/MIM工艺</x:v>
      </x:c>
      <x:c r="B359" s="49"/>
      <x:c r="C359" s="49"/>
      <x:c r="D359" s="49"/>
      <x:c r="E359" s="49"/>
      <x:c r="F359" s="49"/>
      <x:c r="G359" s="49"/>
      <x:c r="H359" s="49"/>
      <x:c r="I359" s="49"/>
      <x:c r="J359" s="49"/>
      <x:c r="K359" s="49"/>
      <x:c r="L359" s="49"/>
      <x:c r="M359" s="49"/>
      <x:c r="N359" s="49"/>
      <x:c r="O359" s="49"/>
      <x:c r="P359" s="49"/>
      <x:c r="Q359" s="49"/>
      <x:c r="R359" s="49"/>
      <x:c r="S359" s="49"/>
      <x:c r="T359" s="49"/>
      <x:c r="U359" s="49"/>
      <x:c r="V359" s="49"/>
      <x:c r="W359" s="49"/>
      <x:c r="X359" s="49"/>
      <x:c r="Y359" s="49"/>
      <x:c r="Z359" s="49"/>
      <x:c r="AA359" s="49"/>
      <x:c r="AB359" s="49"/>
      <x:c r="AC359" s="49"/>
    </x:row>
    <x:row r="360">
      <x:c r="A360" s="22" t="str">
        <x:v>PM10</x:v>
      </x:c>
      <x:c r="B360" s="22" t="s">
        <x:v>538</x:v>
      </x:c>
      <x:c r="C360" s="22">
        <x:v>8</x:v>
      </x:c>
      <x:c r="D360" s="22" t="n">
        <x:f>IFERROR(60*60/C360,0)</x:f>
        <x:v>450</x:v>
      </x:c>
      <x:c r="E360" s="22">
        <x:v>10</x:v>
      </x:c>
      <x:c r="F360" s="22">
        <x:v>22</x:v>
      </x:c>
      <x:c r="G360" s="22">
        <x:v>300</x:v>
      </x:c>
      <x:c r="H360" s="22">
        <x:v>1800000</x:v>
      </x:c>
      <x:c r="I360" s="22" t="n">
        <x:f>IFERROR(H360/E360/F360/G360/D360,0)</x:f>
        <x:v>0.06060606060606061</x:v>
      </x:c>
      <x:c r="J360" s="22">
        <x:v>0.62777055000000004</x:v>
      </x:c>
      <x:c r="K360" s="22">
        <x:v>25</x:v>
      </x:c>
      <x:c r="L360" s="22" t="n">
        <x:f>IFERROR(J360*K360/D360,0)</x:f>
        <x:v>0.034876141666666666</x:v>
      </x:c>
      <x:c r="M360" s="22">
        <x:v>3.7</x:v>
      </x:c>
      <x:c r="N360" s="22">
        <x:v>0</x:v>
      </x:c>
      <x:c r="O360" s="22" t="n">
        <x:f>IFERROR(N360*M360/D360,0)</x:f>
        <x:v>0</x:v>
      </x:c>
      <x:c r="P360" s="22" t="n">
        <x:f>O360+L360</x:f>
        <x:v>0.034876141666666666</x:v>
      </x:c>
      <x:c r="Q360" s="22">
        <x:v>1</x:v>
      </x:c>
      <x:c r="R360" s="22">
        <x:v>0</x:v>
      </x:c>
      <x:c r="S360" s="22">
        <x:v>0</x:v>
      </x:c>
      <x:c r="T360" s="22">
        <x:v>3</x:v>
      </x:c>
      <x:c r="U360" s="22">
        <x:v>2</x:v>
      </x:c>
      <x:c r="V360" s="22" t="n">
        <x:f>IFERROR((Q360+R360+S360+T360+U360)/D360,0)</x:f>
        <x:v>0.013333333333333334</x:v>
      </x:c>
      <x:c r="W360" s="22">
        <x:v>2</x:v>
      </x:c>
      <x:c r="X360" s="22">
        <x:v>6000</x:v>
      </x:c>
      <x:c r="Y360" s="22">
        <x:v>11</x:v>
      </x:c>
      <x:c r="Z360" s="22">
        <x:v>25</x:v>
      </x:c>
      <x:c r="AA360" s="22" t="n">
        <x:f>IFERROR((W360*X360)/Y360/Z360/D360,0)</x:f>
        <x:v>0.09696969696969698</x:v>
      </x:c>
      <x:c r="AB360" s="22">
        <x:v>0.96</x:v>
      </x:c>
      <x:c r="AC360" s="22" t="n">
        <x:f>IFERROR((I360+P360+V360+AA360)/AB360,0)</x:f>
        <x:v>0.21435961726641417</x:v>
      </x:c>
    </x:row>
    <x:row r="361">
      <x:c r="A361" s="22" t="str">
        <x:v>PM20</x:v>
      </x:c>
      <x:c r="B361" s="22" t="s">
        <x:v>539</x:v>
      </x:c>
      <x:c r="C361" s="22">
        <x:v>5</x:v>
      </x:c>
      <x:c r="D361" s="22" t="n">
        <x:f>IFERROR(60*60/C361,0)</x:f>
        <x:v>720</x:v>
      </x:c>
      <x:c r="E361" s="22">
        <x:v>12</x:v>
      </x:c>
      <x:c r="F361" s="22">
        <x:v>22</x:v>
      </x:c>
      <x:c r="G361" s="22">
        <x:v>300</x:v>
      </x:c>
      <x:c r="H361" s="22">
        <x:v>3200000</x:v>
      </x:c>
      <x:c r="I361" s="22" t="n">
        <x:f>IFERROR(H361/E361/F361/G361/D361,0)</x:f>
        <x:v>0.05611672278338946</x:v>
      </x:c>
      <x:c r="J361" s="22">
        <x:v>0.62777055000000004</x:v>
      </x:c>
      <x:c r="K361" s="22">
        <x:v>120</x:v>
      </x:c>
      <x:c r="L361" s="22" t="n">
        <x:f>IFERROR(J361*K361/D361,0)</x:f>
        <x:v>0.10462842500000001</x:v>
      </x:c>
      <x:c r="M361" s="22">
        <x:v>3.7</x:v>
      </x:c>
      <x:c r="N361" s="22">
        <x:v>12</x:v>
      </x:c>
      <x:c r="O361" s="22" t="n">
        <x:f>IFERROR(N361*M361/D361,0)</x:f>
        <x:v>0.061666666666666675</x:v>
      </x:c>
      <x:c r="P361" s="22" t="n">
        <x:f>O361+L361</x:f>
        <x:v>0.16629509166666667</x:v>
      </x:c>
      <x:c r="Q361" s="22">
        <x:v>0</x:v>
      </x:c>
      <x:c r="R361" s="22">
        <x:v>0</x:v>
      </x:c>
      <x:c r="S361" s="22">
        <x:v>2</x:v>
      </x:c>
      <x:c r="T361" s="22">
        <x:v>0</x:v>
      </x:c>
      <x:c r="U361" s="22">
        <x:v>2</x:v>
      </x:c>
      <x:c r="V361" s="22" t="n">
        <x:f>IFERROR((Q361+R361+S361+T361+U361)/D361,0)</x:f>
        <x:v>0.005555555555555556</x:v>
      </x:c>
      <x:c r="W361" s="22">
        <x:v>2</x:v>
      </x:c>
      <x:c r="X361" s="22">
        <x:v>6000</x:v>
      </x:c>
      <x:c r="Y361" s="22">
        <x:v>11</x:v>
      </x:c>
      <x:c r="Z361" s="22">
        <x:v>25</x:v>
      </x:c>
      <x:c r="AA361" s="22" t="n">
        <x:f>IFERROR((W361*X361)/Y361/Z361/D361,0)</x:f>
        <x:v>0.060606060606060615</x:v>
      </x:c>
      <x:c r="AB361" s="22">
        <x:v>0.95</x:v>
      </x:c>
      <x:c r="AC361" s="22" t="n">
        <x:f>IFERROR((I361+P361+V361+AA361)/AB361,0)</x:f>
        <x:v>0.30376150590702355</x:v>
      </x:c>
    </x:row>
    <x:row r="362">
      <x:c r="A362" s="22" t="str">
        <x:v>PM30</x:v>
      </x:c>
      <x:c r="B362" s="22" t="s">
        <x:v>540</x:v>
      </x:c>
      <x:c r="C362" s="22">
        <x:v>25</x:v>
      </x:c>
      <x:c r="D362" s="22" t="n">
        <x:f>IFERROR(60*60/C362,0)</x:f>
        <x:v>144</x:v>
      </x:c>
      <x:c r="E362" s="22">
        <x:v>10</x:v>
      </x:c>
      <x:c r="F362" s="22">
        <x:v>22</x:v>
      </x:c>
      <x:c r="G362" s="22">
        <x:v>300</x:v>
      </x:c>
      <x:c r="H362" s="22">
        <x:v>1500000</x:v>
      </x:c>
      <x:c r="I362" s="22" t="n">
        <x:f>IFERROR(H362/E362/F362/G362/D362,0)</x:f>
        <x:v>0.15782828282828282</x:v>
      </x:c>
      <x:c r="J362" s="22">
        <x:v>0.62777055000000004</x:v>
      </x:c>
      <x:c r="K362" s="22">
        <x:v>35</x:v>
      </x:c>
      <x:c r="L362" s="22" t="n">
        <x:f>IFERROR(J362*K362/D362,0)</x:f>
        <x:v>0.15258311979166667</x:v>
      </x:c>
      <x:c r="M362" s="22">
        <x:v>3.7</x:v>
      </x:c>
      <x:c r="N362" s="22">
        <x:v>0</x:v>
      </x:c>
      <x:c r="O362" s="22" t="n">
        <x:f>IFERROR(N362*M362/D362,0)</x:f>
        <x:v>0</x:v>
      </x:c>
      <x:c r="P362" s="22" t="n">
        <x:f>O362+L362</x:f>
        <x:v>0.15258311979166667</x:v>
      </x:c>
      <x:c r="Q362" s="22">
        <x:v>0</x:v>
      </x:c>
      <x:c r="R362" s="22">
        <x:v>0</x:v>
      </x:c>
      <x:c r="S362" s="22">
        <x:v>1</x:v>
      </x:c>
      <x:c r="T362" s="22">
        <x:v>0</x:v>
      </x:c>
      <x:c r="U362" s="22">
        <x:v>2</x:v>
      </x:c>
      <x:c r="V362" s="22" t="n">
        <x:f>IFERROR((Q362+R362+S362+T362+U362)/D362,0)</x:f>
        <x:v>0.020833333333333332</x:v>
      </x:c>
      <x:c r="W362" s="22">
        <x:v>2</x:v>
      </x:c>
      <x:c r="X362" s="22">
        <x:v>6000</x:v>
      </x:c>
      <x:c r="Y362" s="22">
        <x:v>11</x:v>
      </x:c>
      <x:c r="Z362" s="22">
        <x:v>25</x:v>
      </x:c>
      <x:c r="AA362" s="22" t="n">
        <x:f>IFERROR((W362*X362)/Y362/Z362/D362,0)</x:f>
        <x:v>0.30303030303030304</x:v>
      </x:c>
      <x:c r="AB362" s="22">
        <x:v>0.94</x:v>
      </x:c>
      <x:c r="AC362" s="22" t="n">
        <x:f>IFERROR((I362+P362+V362+AA362)/AB362,0)</x:f>
        <x:v>0.6747606797697722</x:v>
      </x:c>
    </x:row>
    <x:row r="363">
      <x:c r="A363" s="22" t="str">
        <x:v>PM40</x:v>
      </x:c>
      <x:c r="B363" s="22" t="s">
        <x:v>541</x:v>
      </x:c>
      <x:c r="C363" s="22">
        <x:v>18</x:v>
      </x:c>
      <x:c r="D363" s="22" t="n">
        <x:f>IFERROR(60*60/C363,0)</x:f>
        <x:v>200</x:v>
      </x:c>
      <x:c r="E363" s="22">
        <x:v>12</x:v>
      </x:c>
      <x:c r="F363" s="22">
        <x:v>22</x:v>
      </x:c>
      <x:c r="G363" s="22">
        <x:v>300</x:v>
      </x:c>
      <x:c r="H363" s="22">
        <x:v>3800000</x:v>
      </x:c>
      <x:c r="I363" s="22" t="n">
        <x:f>IFERROR(H363/E363/F363/G363/D363,0)</x:f>
        <x:v>0.2398989898989899</x:v>
      </x:c>
      <x:c r="J363" s="22">
        <x:v>0.62777055000000004</x:v>
      </x:c>
      <x:c r="K363" s="22">
        <x:v>140</x:v>
      </x:c>
      <x:c r="L363" s="22" t="n">
        <x:f>IFERROR(J363*K363/D363,0)</x:f>
        <x:v>0.439439385</x:v>
      </x:c>
      <x:c r="M363" s="22">
        <x:v>3.7</x:v>
      </x:c>
      <x:c r="N363" s="22">
        <x:v>15</x:v>
      </x:c>
      <x:c r="O363" s="22" t="n">
        <x:f>IFERROR(N363*M363/D363,0)</x:f>
        <x:v>0.2775</x:v>
      </x:c>
      <x:c r="P363" s="22" t="n">
        <x:f>O363+L363</x:f>
        <x:v>0.7169393850000001</x:v>
      </x:c>
      <x:c r="Q363" s="22">
        <x:v>0</x:v>
      </x:c>
      <x:c r="R363" s="22">
        <x:v>0</x:v>
      </x:c>
      <x:c r="S363" s="22">
        <x:v>3</x:v>
      </x:c>
      <x:c r="T363" s="22">
        <x:v>0</x:v>
      </x:c>
      <x:c r="U363" s="22">
        <x:v>3</x:v>
      </x:c>
      <x:c r="V363" s="22" t="n">
        <x:f>IFERROR((Q363+R363+S363+T363+U363)/D363,0)</x:f>
        <x:v>0.03</x:v>
      </x:c>
      <x:c r="W363" s="22">
        <x:v>3</x:v>
      </x:c>
      <x:c r="X363" s="22">
        <x:v>6000</x:v>
      </x:c>
      <x:c r="Y363" s="22">
        <x:v>11</x:v>
      </x:c>
      <x:c r="Z363" s="22">
        <x:v>25</x:v>
      </x:c>
      <x:c r="AA363" s="22" t="n">
        <x:f>IFERROR((W363*X363)/Y363/Z363/D363,0)</x:f>
        <x:v>0.32727272727272727</x:v>
      </x:c>
      <x:c r="AB363" s="22">
        <x:v>0.92</x:v>
      </x:c>
      <x:c r="AC363" s="22" t="n">
        <x:f>IFERROR((I363+P363+V363+AA363)/AB363,0)</x:f>
        <x:v>1.428381632795345</x:v>
      </x:c>
    </x:row>
    <x:row r="364">
      <x:c r="A364" s="22"/>
      <x:c r="B364" s="22"/>
      <x:c r="C364" s="22"/>
      <x:c r="D364" s="22"/>
      <x:c r="E364" s="22"/>
      <x:c r="F364" s="22"/>
      <x:c r="G364" s="22"/>
      <x:c r="H364" s="22"/>
      <x:c r="I364" s="22"/>
      <x:c r="J364" s="22"/>
      <x:c r="K364" s="22"/>
      <x:c r="L364" s="22"/>
      <x:c r="M364" s="22"/>
      <x:c r="N364" s="22"/>
      <x:c r="O364" s="22"/>
      <x:c r="P364" s="22"/>
      <x:c r="Q364" s="22"/>
      <x:c r="R364" s="22"/>
      <x:c r="S364" s="22"/>
      <x:c r="T364" s="22"/>
      <x:c r="U364" s="22"/>
      <x:c r="V364" s="22"/>
      <x:c r="W364" s="22"/>
      <x:c r="X364" s="22"/>
      <x:c r="Y364" s="22"/>
      <x:c r="Z364" s="22"/>
      <x:c r="AA364" s="22"/>
      <x:c r="AB364" s="22"/>
      <x:c r="AC364" s="22"/>
    </x:row>
    <x:row r="365">
      <x:c r="A365" s="49" t="str">
        <x:v>橡胶成型/硫化工艺</x:v>
      </x:c>
      <x:c r="B365" s="49"/>
      <x:c r="C365" s="49"/>
      <x:c r="D365" s="49"/>
      <x:c r="E365" s="49"/>
      <x:c r="F365" s="49"/>
      <x:c r="G365" s="49"/>
      <x:c r="H365" s="49"/>
      <x:c r="I365" s="49"/>
      <x:c r="J365" s="49"/>
      <x:c r="K365" s="49"/>
      <x:c r="L365" s="49"/>
      <x:c r="M365" s="49"/>
      <x:c r="N365" s="49"/>
      <x:c r="O365" s="49"/>
      <x:c r="P365" s="49"/>
      <x:c r="Q365" s="49"/>
      <x:c r="R365" s="49"/>
      <x:c r="S365" s="49"/>
      <x:c r="T365" s="49"/>
      <x:c r="U365" s="49"/>
      <x:c r="V365" s="49"/>
      <x:c r="W365" s="49"/>
      <x:c r="X365" s="49"/>
      <x:c r="Y365" s="49"/>
      <x:c r="Z365" s="49"/>
      <x:c r="AA365" s="49"/>
      <x:c r="AB365" s="49"/>
      <x:c r="AC365" s="49"/>
    </x:row>
    <x:row r="366">
      <x:c r="A366" s="22" t="str">
        <x:v>RU10</x:v>
      </x:c>
      <x:c r="B366" s="22" t="s">
        <x:v>542</x:v>
      </x:c>
      <x:c r="C366" s="22">
        <x:v>75</x:v>
      </x:c>
      <x:c r="D366" s="22" t="n">
        <x:f>IFERROR(60*60/C366,0)</x:f>
        <x:v>48</x:v>
      </x:c>
      <x:c r="E366" s="22">
        <x:v>10</x:v>
      </x:c>
      <x:c r="F366" s="22">
        <x:v>22</x:v>
      </x:c>
      <x:c r="G366" s="22">
        <x:v>300</x:v>
      </x:c>
      <x:c r="H366" s="22">
        <x:v>650000</x:v>
      </x:c>
      <x:c r="I366" s="22" t="n">
        <x:f>IFERROR(H366/E366/F366/G366/D366,0)</x:f>
        <x:v>0.20517676767676765</x:v>
      </x:c>
      <x:c r="J366" s="22">
        <x:v>0.62777055000000004</x:v>
      </x:c>
      <x:c r="K366" s="22">
        <x:v>35</x:v>
      </x:c>
      <x:c r="L366" s="22" t="n">
        <x:f>IFERROR(J366*K366/D366,0)</x:f>
        <x:v>0.457749359375</x:v>
      </x:c>
      <x:c r="M366" s="22">
        <x:v>3.7</x:v>
      </x:c>
      <x:c r="N366" s="22">
        <x:v>0</x:v>
      </x:c>
      <x:c r="O366" s="22" t="n">
        <x:f>IFERROR(N366*M366/D366,0)</x:f>
        <x:v>0</x:v>
      </x:c>
      <x:c r="P366" s="22" t="n">
        <x:f>O366+L366</x:f>
        <x:v>0.457749359375</x:v>
      </x:c>
      <x:c r="Q366" s="22">
        <x:v>0</x:v>
      </x:c>
      <x:c r="R366" s="22">
        <x:v>0</x:v>
      </x:c>
      <x:c r="S366" s="22">
        <x:v>1</x:v>
      </x:c>
      <x:c r="T366" s="22">
        <x:v>1</x:v>
      </x:c>
      <x:c r="U366" s="22">
        <x:v>1</x:v>
      </x:c>
      <x:c r="V366" s="22" t="n">
        <x:f>IFERROR((Q366+R366+S366+T366+U366)/D366,0)</x:f>
        <x:v>0.0625</x:v>
      </x:c>
      <x:c r="W366" s="22">
        <x:v>2</x:v>
      </x:c>
      <x:c r="X366" s="22">
        <x:v>6000</x:v>
      </x:c>
      <x:c r="Y366" s="22">
        <x:v>11</x:v>
      </x:c>
      <x:c r="Z366" s="22">
        <x:v>25</x:v>
      </x:c>
      <x:c r="AA366" s="22" t="n">
        <x:f>IFERROR((W366*X366)/Y366/Z366/D366,0)</x:f>
        <x:v>0.9090909090909092</x:v>
      </x:c>
      <x:c r="AB366" s="22">
        <x:v>0.96</x:v>
      </x:c>
      <x:c r="AC366" s="22" t="n">
        <x:f>IFERROR((I366+P366+V366+AA366)/AB366,0)</x:f>
        <x:v>1.7026219126486217</x:v>
      </x:c>
    </x:row>
    <x:row r="367">
      <x:c r="A367" s="22" t="str">
        <x:v>RU20</x:v>
      </x:c>
      <x:c r="B367" s="22" t="s">
        <x:v>543</x:v>
      </x:c>
      <x:c r="C367" s="22">
        <x:v>45</x:v>
      </x:c>
      <x:c r="D367" s="22" t="n">
        <x:f>IFERROR(60*60/C367,0)</x:f>
        <x:v>80</x:v>
      </x:c>
      <x:c r="E367" s="22">
        <x:v>10</x:v>
      </x:c>
      <x:c r="F367" s="22">
        <x:v>22</x:v>
      </x:c>
      <x:c r="G367" s="22">
        <x:v>300</x:v>
      </x:c>
      <x:c r="H367" s="22">
        <x:v>1200000</x:v>
      </x:c>
      <x:c r="I367" s="22" t="n">
        <x:f>IFERROR(H367/E367/F367/G367/D367,0)</x:f>
        <x:v>0.2272727272727273</x:v>
      </x:c>
      <x:c r="J367" s="22">
        <x:v>0.62777055000000004</x:v>
      </x:c>
      <x:c r="K367" s="22">
        <x:v>55</x:v>
      </x:c>
      <x:c r="L367" s="22" t="n">
        <x:f>IFERROR(J367*K367/D367,0)</x:f>
        <x:v>0.431592253125</x:v>
      </x:c>
      <x:c r="M367" s="22">
        <x:v>3.7</x:v>
      </x:c>
      <x:c r="N367" s="22">
        <x:v>0</x:v>
      </x:c>
      <x:c r="O367" s="22" t="n">
        <x:f>IFERROR(N367*M367/D367,0)</x:f>
        <x:v>0</x:v>
      </x:c>
      <x:c r="P367" s="22" t="n">
        <x:f>O367+L367</x:f>
        <x:v>0.431592253125</x:v>
      </x:c>
      <x:c r="Q367" s="22">
        <x:v>0</x:v>
      </x:c>
      <x:c r="R367" s="22">
        <x:v>0</x:v>
      </x:c>
      <x:c r="S367" s="22">
        <x:v>2</x:v>
      </x:c>
      <x:c r="T367" s="22">
        <x:v>1</x:v>
      </x:c>
      <x:c r="U367" s="22">
        <x:v>1</x:v>
      </x:c>
      <x:c r="V367" s="22" t="n">
        <x:f>IFERROR((Q367+R367+S367+T367+U367)/D367,0)</x:f>
        <x:v>0.05</x:v>
      </x:c>
      <x:c r="W367" s="22">
        <x:v>2</x:v>
      </x:c>
      <x:c r="X367" s="22">
        <x:v>6000</x:v>
      </x:c>
      <x:c r="Y367" s="22">
        <x:v>11</x:v>
      </x:c>
      <x:c r="Z367" s="22">
        <x:v>25</x:v>
      </x:c>
      <x:c r="AA367" s="22" t="n">
        <x:f>IFERROR((W367*X367)/Y367/Z367/D367,0)</x:f>
        <x:v>0.5454545454545455</x:v>
      </x:c>
      <x:c r="AB367" s="22">
        <x:v>0.97</x:v>
      </x:c>
      <x:c r="AC367" s="22" t="n">
        <x:f>IFERROR((I367+P367+V367+AA367)/AB367,0)</x:f>
        <x:v>1.293112913249766</x:v>
      </x:c>
    </x:row>
    <x:row r="368">
      <x:c r="A368" s="22" t="str">
        <x:v>RU30</x:v>
      </x:c>
      <x:c r="B368" s="22" t="s">
        <x:v>544</x:v>
      </x:c>
      <x:c r="C368" s="22">
        <x:v>60</x:v>
      </x:c>
      <x:c r="D368" s="22" t="n">
        <x:f>IFERROR(60*60/C368,0)</x:f>
        <x:v>60</x:v>
      </x:c>
      <x:c r="E368" s="22">
        <x:v>10</x:v>
      </x:c>
      <x:c r="F368" s="22">
        <x:v>22</x:v>
      </x:c>
      <x:c r="G368" s="22">
        <x:v>300</x:v>
      </x:c>
      <x:c r="H368" s="22">
        <x:v>900000</x:v>
      </x:c>
      <x:c r="I368" s="22" t="n">
        <x:f>IFERROR(H368/E368/F368/G368/D368,0)</x:f>
        <x:v>0.22727272727272727</x:v>
      </x:c>
      <x:c r="J368" s="22">
        <x:v>0.62777055000000004</x:v>
      </x:c>
      <x:c r="K368" s="22">
        <x:v>45</x:v>
      </x:c>
      <x:c r="L368" s="22" t="n">
        <x:f>IFERROR(J368*K368/D368,0)</x:f>
        <x:v>0.4708279125</x:v>
      </x:c>
      <x:c r="M368" s="22">
        <x:v>3.7</x:v>
      </x:c>
      <x:c r="N368" s="22">
        <x:v>0</x:v>
      </x:c>
      <x:c r="O368" s="22" t="n">
        <x:f>IFERROR(N368*M368/D368,0)</x:f>
        <x:v>0</x:v>
      </x:c>
      <x:c r="P368" s="22" t="n">
        <x:f>O368+L368</x:f>
        <x:v>0.4708279125</x:v>
      </x:c>
      <x:c r="Q368" s="22">
        <x:v>0</x:v>
      </x:c>
      <x:c r="R368" s="22">
        <x:v>0</x:v>
      </x:c>
      <x:c r="S368" s="22">
        <x:v>2</x:v>
      </x:c>
      <x:c r="T368" s="22">
        <x:v>1</x:v>
      </x:c>
      <x:c r="U368" s="22">
        <x:v>1</x:v>
      </x:c>
      <x:c r="V368" s="22" t="n">
        <x:f>IFERROR((Q368+R368+S368+T368+U368)/D368,0)</x:f>
        <x:v>0.06666666666666667</x:v>
      </x:c>
      <x:c r="W368" s="22">
        <x:v>2</x:v>
      </x:c>
      <x:c r="X368" s="22">
        <x:v>6000</x:v>
      </x:c>
      <x:c r="Y368" s="22">
        <x:v>11</x:v>
      </x:c>
      <x:c r="Z368" s="22">
        <x:v>25</x:v>
      </x:c>
      <x:c r="AA368" s="22" t="n">
        <x:f>IFERROR((W368*X368)/Y368/Z368/D368,0)</x:f>
        <x:v>0.7272727272727273</x:v>
      </x:c>
      <x:c r="AB368" s="22">
        <x:v>0.96</x:v>
      </x:c>
      <x:c r="AC368" s="22" t="n">
        <x:f>IFERROR((I368+P368+V368+AA368)/AB368,0)</x:f>
        <x:v>1.5542083684501264</x:v>
      </x:c>
    </x:row>
    <x:row r="369">
      <x:c r="A369" s="22" t="str">
        <x:v>RU40</x:v>
      </x:c>
      <x:c r="B369" s="22" t="s">
        <x:v>545</x:v>
      </x:c>
      <x:c r="C369" s="22">
        <x:v>3</x:v>
      </x:c>
      <x:c r="D369" s="22" t="n">
        <x:f>IFERROR(60*60/C369,0)</x:f>
        <x:v>1200</x:v>
      </x:c>
      <x:c r="E369" s="22">
        <x:v>12</x:v>
      </x:c>
      <x:c r="F369" s="22">
        <x:v>22</x:v>
      </x:c>
      <x:c r="G369" s="22">
        <x:v>300</x:v>
      </x:c>
      <x:c r="H369" s="22">
        <x:v>2600000</x:v>
      </x:c>
      <x:c r="I369" s="22" t="n">
        <x:f>IFERROR(H369/E369/F369/G369/D369,0)</x:f>
        <x:v>0.027356902356902354</x:v>
      </x:c>
      <x:c r="J369" s="22">
        <x:v>0.62777055000000004</x:v>
      </x:c>
      <x:c r="K369" s="22">
        <x:v>100</x:v>
      </x:c>
      <x:c r="L369" s="22" t="n">
        <x:f>IFERROR(J369*K369/D369,0)</x:f>
        <x:v>0.052314212500000006</x:v>
      </x:c>
      <x:c r="M369" s="22">
        <x:v>3.7</x:v>
      </x:c>
      <x:c r="N369" s="22">
        <x:v>8</x:v>
      </x:c>
      <x:c r="O369" s="22" t="n">
        <x:f>IFERROR(N369*M369/D369,0)</x:f>
        <x:v>0.024666666666666667</x:v>
      </x:c>
      <x:c r="P369" s="22" t="n">
        <x:f>O369+L369</x:f>
        <x:v>0.07698087916666667</x:v>
      </x:c>
      <x:c r="Q369" s="22">
        <x:v>0</x:v>
      </x:c>
      <x:c r="R369" s="22">
        <x:v>0</x:v>
      </x:c>
      <x:c r="S369" s="22">
        <x:v>3</x:v>
      </x:c>
      <x:c r="T369" s="22">
        <x:v>0</x:v>
      </x:c>
      <x:c r="U369" s="22">
        <x:v>2</x:v>
      </x:c>
      <x:c r="V369" s="22" t="n">
        <x:f>IFERROR((Q369+R369+S369+T369+U369)/D369,0)</x:f>
        <x:v>0.004166666666666667</x:v>
      </x:c>
      <x:c r="W369" s="22">
        <x:v>3</x:v>
      </x:c>
      <x:c r="X369" s="22">
        <x:v>6000</x:v>
      </x:c>
      <x:c r="Y369" s="22">
        <x:v>11</x:v>
      </x:c>
      <x:c r="Z369" s="22">
        <x:v>25</x:v>
      </x:c>
      <x:c r="AA369" s="22" t="n">
        <x:f>IFERROR((W369*X369)/Y369/Z369/D369,0)</x:f>
        <x:v>0.05454545454545454</x:v>
      </x:c>
      <x:c r="AB369" s="22">
        <x:v>0.95</x:v>
      </x:c>
      <x:c r="AC369" s="22" t="n">
        <x:f>IFERROR((I369+P369+V369+AA369)/AB369,0)</x:f>
        <x:v>0.17163147656388444</x:v>
      </x:c>
    </x:row>
    <x:row r="370">
      <x:c r="A370" s="22" t="str">
        <x:v>RU50</x:v>
      </x:c>
      <x:c r="B370" s="22" t="s">
        <x:v>546</x:v>
      </x:c>
      <x:c r="C370" s="22">
        <x:v>18</x:v>
      </x:c>
      <x:c r="D370" s="22" t="n">
        <x:f>IFERROR(60*60/C370,0)</x:f>
        <x:v>200</x:v>
      </x:c>
      <x:c r="E370" s="22">
        <x:v>8</x:v>
      </x:c>
      <x:c r="F370" s="22">
        <x:v>22</x:v>
      </x:c>
      <x:c r="G370" s="22">
        <x:v>300</x:v>
      </x:c>
      <x:c r="H370" s="22">
        <x:v>450000</x:v>
      </x:c>
      <x:c r="I370" s="22" t="n">
        <x:f>IFERROR(H370/E370/F370/G370/D370,0)</x:f>
        <x:v>0.04261363636363637</x:v>
      </x:c>
      <x:c r="J370" s="22">
        <x:v>0.62777055000000004</x:v>
      </x:c>
      <x:c r="K370" s="22">
        <x:v>12</x:v>
      </x:c>
      <x:c r="L370" s="22" t="n">
        <x:f>IFERROR(J370*K370/D370,0)</x:f>
        <x:v>0.037666233</x:v>
      </x:c>
      <x:c r="M370" s="22">
        <x:v>3.7</x:v>
      </x:c>
      <x:c r="N370" s="22">
        <x:v>0</x:v>
      </x:c>
      <x:c r="O370" s="22" t="n">
        <x:f>IFERROR(N370*M370/D370,0)</x:f>
        <x:v>0</x:v>
      </x:c>
      <x:c r="P370" s="22" t="n">
        <x:f>O370+L370</x:f>
        <x:v>0.037666233</x:v>
      </x:c>
      <x:c r="Q370" s="22">
        <x:v>0</x:v>
      </x:c>
      <x:c r="R370" s="22">
        <x:v>0</x:v>
      </x:c>
      <x:c r="S370" s="22">
        <x:v>0</x:v>
      </x:c>
      <x:c r="T370" s="22">
        <x:v>1</x:v>
      </x:c>
      <x:c r="U370" s="22">
        <x:v>2</x:v>
      </x:c>
      <x:c r="V370" s="22" t="n">
        <x:f>IFERROR((Q370+R370+S370+T370+U370)/D370,0)</x:f>
        <x:v>0.015</x:v>
      </x:c>
      <x:c r="W370" s="22">
        <x:v>2</x:v>
      </x:c>
      <x:c r="X370" s="22">
        <x:v>6000</x:v>
      </x:c>
      <x:c r="Y370" s="22">
        <x:v>11</x:v>
      </x:c>
      <x:c r="Z370" s="22">
        <x:v>25</x:v>
      </x:c>
      <x:c r="AA370" s="22" t="n">
        <x:f>IFERROR((W370*X370)/Y370/Z370/D370,0)</x:f>
        <x:v>0.2181818181818182</x:v>
      </x:c>
      <x:c r="AB370" s="22">
        <x:v>0.98</x:v>
      </x:c>
      <x:c r="AC370" s="22" t="n">
        <x:f>IFERROR((I370+P370+V370+AA370)/AB370,0)</x:f>
        <x:v>0.3198588648423006</x:v>
      </x:c>
    </x:row>
    <x:row r="371">
      <x:c r="A371" s="22"/>
      <x:c r="B371" s="22"/>
      <x:c r="C371" s="22"/>
      <x:c r="D371" s="22"/>
      <x:c r="E371" s="22"/>
      <x:c r="F371" s="22"/>
      <x:c r="G371" s="22"/>
      <x:c r="H371" s="22"/>
      <x:c r="I371" s="22"/>
      <x:c r="J371" s="22"/>
      <x:c r="K371" s="22"/>
      <x:c r="L371" s="22"/>
      <x:c r="M371" s="22"/>
      <x:c r="N371" s="22"/>
      <x:c r="O371" s="22"/>
      <x:c r="P371" s="22"/>
      <x:c r="Q371" s="22"/>
      <x:c r="R371" s="22"/>
      <x:c r="S371" s="22"/>
      <x:c r="T371" s="22"/>
      <x:c r="U371" s="22"/>
      <x:c r="V371" s="22"/>
      <x:c r="W371" s="22"/>
      <x:c r="X371" s="22"/>
      <x:c r="Y371" s="22"/>
      <x:c r="Z371" s="22"/>
      <x:c r="AA371" s="22"/>
      <x:c r="AB371" s="22"/>
      <x:c r="AC371" s="22"/>
    </x:row>
    <x:row r="372">
      <x:c r="A372" s="49" t="str">
        <x:v>吹塑/滚塑工艺</x:v>
      </x:c>
      <x:c r="B372" s="49"/>
      <x:c r="C372" s="49"/>
      <x:c r="D372" s="49"/>
      <x:c r="E372" s="49"/>
      <x:c r="F372" s="49"/>
      <x:c r="G372" s="49"/>
      <x:c r="H372" s="49"/>
      <x:c r="I372" s="49"/>
      <x:c r="J372" s="49"/>
      <x:c r="K372" s="49"/>
      <x:c r="L372" s="49"/>
      <x:c r="M372" s="49"/>
      <x:c r="N372" s="49"/>
      <x:c r="O372" s="49"/>
      <x:c r="P372" s="49"/>
      <x:c r="Q372" s="49"/>
      <x:c r="R372" s="49"/>
      <x:c r="S372" s="49"/>
      <x:c r="T372" s="49"/>
      <x:c r="U372" s="49"/>
      <x:c r="V372" s="49"/>
      <x:c r="W372" s="49"/>
      <x:c r="X372" s="49"/>
      <x:c r="Y372" s="49"/>
      <x:c r="Z372" s="49"/>
      <x:c r="AA372" s="49"/>
      <x:c r="AB372" s="49"/>
      <x:c r="AC372" s="49"/>
    </x:row>
    <x:row r="373">
      <x:c r="A373" s="22" t="str">
        <x:v>BL10</x:v>
      </x:c>
      <x:c r="B373" s="22" t="s">
        <x:v>547</x:v>
      </x:c>
      <x:c r="C373" s="22">
        <x:v>30</x:v>
      </x:c>
      <x:c r="D373" s="22" t="n">
        <x:f>IFERROR(60*60/C373,0)</x:f>
        <x:v>120</x:v>
      </x:c>
      <x:c r="E373" s="22">
        <x:v>10</x:v>
      </x:c>
      <x:c r="F373" s="22">
        <x:v>22</x:v>
      </x:c>
      <x:c r="G373" s="22">
        <x:v>300</x:v>
      </x:c>
      <x:c r="H373" s="22">
        <x:v>950000</x:v>
      </x:c>
      <x:c r="I373" s="22" t="n">
        <x:f>IFERROR(H373/E373/F373/G373/D373,0)</x:f>
        <x:v>0.11994949494949494</x:v>
      </x:c>
      <x:c r="J373" s="22">
        <x:v>0.62777055000000004</x:v>
      </x:c>
      <x:c r="K373" s="22">
        <x:v>40</x:v>
      </x:c>
      <x:c r="L373" s="22" t="n">
        <x:f>IFERROR(J373*K373/D373,0)</x:f>
        <x:v>0.20925685000000002</x:v>
      </x:c>
      <x:c r="M373" s="22">
        <x:v>3.7</x:v>
      </x:c>
      <x:c r="N373" s="22">
        <x:v>0</x:v>
      </x:c>
      <x:c r="O373" s="22" t="n">
        <x:f>IFERROR(N373*M373/D373,0)</x:f>
        <x:v>0</x:v>
      </x:c>
      <x:c r="P373" s="22" t="n">
        <x:f>O373+L373</x:f>
        <x:v>0.20925685000000002</x:v>
      </x:c>
      <x:c r="Q373" s="22">
        <x:v>0</x:v>
      </x:c>
      <x:c r="R373" s="22">
        <x:v>0</x:v>
      </x:c>
      <x:c r="S373" s="22">
        <x:v>2</x:v>
      </x:c>
      <x:c r="T373" s="22">
        <x:v>0</x:v>
      </x:c>
      <x:c r="U373" s="22">
        <x:v>1</x:v>
      </x:c>
      <x:c r="V373" s="22" t="n">
        <x:f>IFERROR((Q373+R373+S373+T373+U373)/D373,0)</x:f>
        <x:v>0.025</x:v>
      </x:c>
      <x:c r="W373" s="22">
        <x:v>2</x:v>
      </x:c>
      <x:c r="X373" s="22">
        <x:v>6000</x:v>
      </x:c>
      <x:c r="Y373" s="22">
        <x:v>11</x:v>
      </x:c>
      <x:c r="Z373" s="22">
        <x:v>25</x:v>
      </x:c>
      <x:c r="AA373" s="22" t="n">
        <x:f>IFERROR((W373*X373)/Y373/Z373/D373,0)</x:f>
        <x:v>0.36363636363636365</x:v>
      </x:c>
      <x:c r="AB373" s="22">
        <x:v>0.96</x:v>
      </x:c>
      <x:c r="AC373" s="22" t="n">
        <x:f>IFERROR((I373+P373+V373+AA373)/AB373,0)</x:f>
        <x:v>0.7477528214436028</x:v>
      </x:c>
    </x:row>
    <x:row r="374">
      <x:c r="A374" s="22" t="str">
        <x:v>BL20</x:v>
      </x:c>
      <x:c r="B374" s="22" t="s">
        <x:v>548</x:v>
      </x:c>
      <x:c r="C374" s="22">
        <x:v>75</x:v>
      </x:c>
      <x:c r="D374" s="22" t="n">
        <x:f>IFERROR(60*60/C374,0)</x:f>
        <x:v>48</x:v>
      </x:c>
      <x:c r="E374" s="22">
        <x:v>12</x:v>
      </x:c>
      <x:c r="F374" s="22">
        <x:v>22</x:v>
      </x:c>
      <x:c r="G374" s="22">
        <x:v>300</x:v>
      </x:c>
      <x:c r="H374" s="22">
        <x:v>4500000</x:v>
      </x:c>
      <x:c r="I374" s="22" t="n">
        <x:f>IFERROR(H374/E374/F374/G374/D374,0)</x:f>
        <x:v>1.183712121212121</x:v>
      </x:c>
      <x:c r="J374" s="22">
        <x:v>0.62777055000000004</x:v>
      </x:c>
      <x:c r="K374" s="22">
        <x:v>130</x:v>
      </x:c>
      <x:c r="L374" s="22" t="n">
        <x:f>IFERROR(J374*K374/D374,0)</x:f>
        <x:v>1.70021190625</x:v>
      </x:c>
      <x:c r="M374" s="22">
        <x:v>3.7</x:v>
      </x:c>
      <x:c r="N374" s="22">
        <x:v>0</x:v>
      </x:c>
      <x:c r="O374" s="22" t="n">
        <x:f>IFERROR(N374*M374/D374,0)</x:f>
        <x:v>0</x:v>
      </x:c>
      <x:c r="P374" s="22" t="n">
        <x:f>O374+L374</x:f>
        <x:v>1.70021190625</x:v>
      </x:c>
      <x:c r="Q374" s="22">
        <x:v>0</x:v>
      </x:c>
      <x:c r="R374" s="22">
        <x:v>0</x:v>
      </x:c>
      <x:c r="S374" s="22">
        <x:v>4</x:v>
      </x:c>
      <x:c r="T374" s="22">
        <x:v>0</x:v>
      </x:c>
      <x:c r="U374" s="22">
        <x:v>3</x:v>
      </x:c>
      <x:c r="V374" s="22" t="n">
        <x:f>IFERROR((Q374+R374+S374+T374+U374)/D374,0)</x:f>
        <x:v>0.14583333333333334</x:v>
      </x:c>
      <x:c r="W374" s="22">
        <x:v>4</x:v>
      </x:c>
      <x:c r="X374" s="22">
        <x:v>6000</x:v>
      </x:c>
      <x:c r="Y374" s="22">
        <x:v>11</x:v>
      </x:c>
      <x:c r="Z374" s="22">
        <x:v>25</x:v>
      </x:c>
      <x:c r="AA374" s="22" t="n">
        <x:f>IFERROR((W374*X374)/Y374/Z374/D374,0)</x:f>
        <x:v>1.8181818181818183</x:v>
      </x:c>
      <x:c r="AB374" s="22">
        <x:v>0.93</x:v>
      </x:c>
      <x:c r="AC374" s="22" t="n">
        <x:f>IFERROR((I374+P374+V374+AA374)/AB374,0)</x:f>
        <x:v>5.212837826857282</x:v>
      </x:c>
    </x:row>
    <x:row r="375">
      <x:c r="A375" s="22" t="str">
        <x:v>BL30</x:v>
      </x:c>
      <x:c r="B375" s="22" t="s">
        <x:v>549</x:v>
      </x:c>
      <x:c r="C375" s="22">
        <x:v>25</x:v>
      </x:c>
      <x:c r="D375" s="22" t="n">
        <x:f>IFERROR(60*60/C375,0)</x:f>
        <x:v>144</x:v>
      </x:c>
      <x:c r="E375" s="22">
        <x:v>10</x:v>
      </x:c>
      <x:c r="F375" s="22">
        <x:v>22</x:v>
      </x:c>
      <x:c r="G375" s="22">
        <x:v>300</x:v>
      </x:c>
      <x:c r="H375" s="22">
        <x:v>1600000</x:v>
      </x:c>
      <x:c r="I375" s="22" t="n">
        <x:f>IFERROR(H375/E375/F375/G375/D375,0)</x:f>
        <x:v>0.16835016835016836</x:v>
      </x:c>
      <x:c r="J375" s="22">
        <x:v>0.62777055000000004</x:v>
      </x:c>
      <x:c r="K375" s="22">
        <x:v>55</x:v>
      </x:c>
      <x:c r="L375" s="22" t="n">
        <x:f>IFERROR(J375*K375/D375,0)</x:f>
        <x:v>0.23977347395833334</x:v>
      </x:c>
      <x:c r="M375" s="22">
        <x:v>3.7</x:v>
      </x:c>
      <x:c r="N375" s="22">
        <x:v>0</x:v>
      </x:c>
      <x:c r="O375" s="22" t="n">
        <x:f>IFERROR(N375*M375/D375,0)</x:f>
        <x:v>0</x:v>
      </x:c>
      <x:c r="P375" s="22" t="n">
        <x:f>O375+L375</x:f>
        <x:v>0.23977347395833334</x:v>
      </x:c>
      <x:c r="Q375" s="22">
        <x:v>0</x:v>
      </x:c>
      <x:c r="R375" s="22">
        <x:v>0</x:v>
      </x:c>
      <x:c r="S375" s="22">
        <x:v>2</x:v>
      </x:c>
      <x:c r="T375" s="22">
        <x:v>0</x:v>
      </x:c>
      <x:c r="U375" s="22">
        <x:v>1</x:v>
      </x:c>
      <x:c r="V375" s="22" t="n">
        <x:f>IFERROR((Q375+R375+S375+T375+U375)/D375,0)</x:f>
        <x:v>0.020833333333333332</x:v>
      </x:c>
      <x:c r="W375" s="22">
        <x:v>2</x:v>
      </x:c>
      <x:c r="X375" s="22">
        <x:v>6000</x:v>
      </x:c>
      <x:c r="Y375" s="22">
        <x:v>11</x:v>
      </x:c>
      <x:c r="Z375" s="22">
        <x:v>25</x:v>
      </x:c>
      <x:c r="AA375" s="22" t="n">
        <x:f>IFERROR((W375*X375)/Y375/Z375/D375,0)</x:f>
        <x:v>0.30303030303030304</x:v>
      </x:c>
      <x:c r="AB375" s="22">
        <x:v>0.96</x:v>
      </x:c>
      <x:c r="AC375" s="22" t="n">
        <x:f>IFERROR((I375+P375+V375+AA375)/AB375,0)</x:f>
        <x:v>0.7624867486168105</x:v>
      </x:c>
    </x:row>
    <x:row r="376">
      <x:c r="A376" s="22" t="str">
        <x:v>BL40</x:v>
      </x:c>
      <x:c r="B376" s="22" t="s">
        <x:v>550</x:v>
      </x:c>
      <x:c r="C376" s="22">
        <x:v>240</x:v>
      </x:c>
      <x:c r="D376" s="22" t="n">
        <x:f>IFERROR(60*60/C376,0)</x:f>
        <x:v>15</x:v>
      </x:c>
      <x:c r="E376" s="22">
        <x:v>10</x:v>
      </x:c>
      <x:c r="F376" s="22">
        <x:v>22</x:v>
      </x:c>
      <x:c r="G376" s="22">
        <x:v>300</x:v>
      </x:c>
      <x:c r="H376" s="22">
        <x:v>1200000</x:v>
      </x:c>
      <x:c r="I376" s="22" t="n">
        <x:f>IFERROR(H376/E376/F376/G376/D376,0)</x:f>
        <x:v>1.2121212121212122</x:v>
      </x:c>
      <x:c r="J376" s="22">
        <x:v>0.62777055000000004</x:v>
      </x:c>
      <x:c r="K376" s="22">
        <x:v>80</x:v>
      </x:c>
      <x:c r="L376" s="22" t="n">
        <x:f>IFERROR(J376*K376/D376,0)</x:f>
        <x:v>3.3481096000000004</x:v>
      </x:c>
      <x:c r="M376" s="22">
        <x:v>3.7</x:v>
      </x:c>
      <x:c r="N376" s="22">
        <x:v>8</x:v>
      </x:c>
      <x:c r="O376" s="22" t="n">
        <x:f>IFERROR(N376*M376/D376,0)</x:f>
        <x:v>1.9733333333333334</x:v>
      </x:c>
      <x:c r="P376" s="22" t="n">
        <x:f>O376+L376</x:f>
        <x:v>5.3214429333333335</x:v>
      </x:c>
      <x:c r="Q376" s="22">
        <x:v>0</x:v>
      </x:c>
      <x:c r="R376" s="22">
        <x:v>0</x:v>
      </x:c>
      <x:c r="S376" s="22">
        <x:v>0</x:v>
      </x:c>
      <x:c r="T376" s="22">
        <x:v>0</x:v>
      </x:c>
      <x:c r="U376" s="22">
        <x:v>2</x:v>
      </x:c>
      <x:c r="V376" s="22" t="n">
        <x:f>IFERROR((Q376+R376+S376+T376+U376)/D376,0)</x:f>
        <x:v>0.13333333333333333</x:v>
      </x:c>
      <x:c r="W376" s="22">
        <x:v>3</x:v>
      </x:c>
      <x:c r="X376" s="22">
        <x:v>6000</x:v>
      </x:c>
      <x:c r="Y376" s="22">
        <x:v>11</x:v>
      </x:c>
      <x:c r="Z376" s="22">
        <x:v>25</x:v>
      </x:c>
      <x:c r="AA376" s="22" t="n">
        <x:f>IFERROR((W376*X376)/Y376/Z376/D376,0)</x:f>
        <x:v>4.363636363636363</x:v>
      </x:c>
      <x:c r="AB376" s="22">
        <x:v>0.92</x:v>
      </x:c>
      <x:c r="AC376" s="22" t="n">
        <x:f>IFERROR((I376+P376+V376+AA376)/AB376,0)</x:f>
        <x:v>11.989710698287219</x:v>
      </x:c>
    </x:row>
    <x:row r="377">
      <x:c r="A377" s="22"/>
      <x:c r="B377" s="22"/>
      <x:c r="C377" s="22"/>
      <x:c r="D377" s="22"/>
      <x:c r="E377" s="22"/>
      <x:c r="F377" s="22"/>
      <x:c r="G377" s="22"/>
      <x:c r="H377" s="22"/>
      <x:c r="I377" s="22"/>
      <x:c r="J377" s="22"/>
      <x:c r="K377" s="22"/>
      <x:c r="L377" s="22"/>
      <x:c r="M377" s="22"/>
      <x:c r="N377" s="22"/>
      <x:c r="O377" s="22"/>
      <x:c r="P377" s="22"/>
      <x:c r="Q377" s="22"/>
      <x:c r="R377" s="22"/>
      <x:c r="S377" s="22"/>
      <x:c r="T377" s="22"/>
      <x:c r="U377" s="22"/>
      <x:c r="V377" s="22"/>
      <x:c r="W377" s="22"/>
      <x:c r="X377" s="22"/>
      <x:c r="Y377" s="22"/>
      <x:c r="Z377" s="22"/>
      <x:c r="AA377" s="22"/>
      <x:c r="AB377" s="22"/>
      <x:c r="AC377" s="22"/>
    </x:row>
    <x:row r="378">
      <x:c r="A378" s="49" t="str">
        <x:v>热压/模压复合材料工艺</x:v>
      </x:c>
      <x:c r="B378" s="49"/>
      <x:c r="C378" s="49"/>
      <x:c r="D378" s="49"/>
      <x:c r="E378" s="49"/>
      <x:c r="F378" s="49"/>
      <x:c r="G378" s="49"/>
      <x:c r="H378" s="49"/>
      <x:c r="I378" s="49"/>
      <x:c r="J378" s="49"/>
      <x:c r="K378" s="49"/>
      <x:c r="L378" s="49"/>
      <x:c r="M378" s="49"/>
      <x:c r="N378" s="49"/>
      <x:c r="O378" s="49"/>
      <x:c r="P378" s="49"/>
      <x:c r="Q378" s="49"/>
      <x:c r="R378" s="49"/>
      <x:c r="S378" s="49"/>
      <x:c r="T378" s="49"/>
      <x:c r="U378" s="49"/>
      <x:c r="V378" s="49"/>
      <x:c r="W378" s="49"/>
      <x:c r="X378" s="49"/>
      <x:c r="Y378" s="49"/>
      <x:c r="Z378" s="49"/>
      <x:c r="AA378" s="49"/>
      <x:c r="AB378" s="49"/>
      <x:c r="AC378" s="49"/>
    </x:row>
    <x:row r="379">
      <x:c r="A379" s="22" t="str">
        <x:v>CM10</x:v>
      </x:c>
      <x:c r="B379" s="22" t="s">
        <x:v>551</x:v>
      </x:c>
      <x:c r="C379" s="22">
        <x:v>90</x:v>
      </x:c>
      <x:c r="D379" s="22" t="n">
        <x:f>IFERROR(60*60/C379,0)</x:f>
        <x:v>40</x:v>
      </x:c>
      <x:c r="E379" s="22">
        <x:v>12</x:v>
      </x:c>
      <x:c r="F379" s="22">
        <x:v>22</x:v>
      </x:c>
      <x:c r="G379" s="22">
        <x:v>300</x:v>
      </x:c>
      <x:c r="H379" s="22">
        <x:v>3500000</x:v>
      </x:c>
      <x:c r="I379" s="22" t="n">
        <x:f>IFERROR(H379/E379/F379/G379/D379,0)</x:f>
        <x:v>1.1047979797979797</x:v>
      </x:c>
      <x:c r="J379" s="22">
        <x:v>0.62777055000000004</x:v>
      </x:c>
      <x:c r="K379" s="22">
        <x:v>90</x:v>
      </x:c>
      <x:c r="L379" s="22" t="n">
        <x:f>IFERROR(J379*K379/D379,0)</x:f>
        <x:v>1.4124837375000001</x:v>
      </x:c>
      <x:c r="M379" s="22">
        <x:v>3.7</x:v>
      </x:c>
      <x:c r="N379" s="22">
        <x:v>5</x:v>
      </x:c>
      <x:c r="O379" s="22" t="n">
        <x:f>IFERROR(N379*M379/D379,0)</x:f>
        <x:v>0.4625</x:v>
      </x:c>
      <x:c r="P379" s="22" t="n">
        <x:f>O379+L379</x:f>
        <x:v>1.8749837375</x:v>
      </x:c>
      <x:c r="Q379" s="22">
        <x:v>0</x:v>
      </x:c>
      <x:c r="R379" s="22">
        <x:v>0</x:v>
      </x:c>
      <x:c r="S379" s="22">
        <x:v>3</x:v>
      </x:c>
      <x:c r="T379" s="22">
        <x:v>2</x:v>
      </x:c>
      <x:c r="U379" s="22">
        <x:v>2</x:v>
      </x:c>
      <x:c r="V379" s="22" t="n">
        <x:f>IFERROR((Q379+R379+S379+T379+U379)/D379,0)</x:f>
        <x:v>0.175</x:v>
      </x:c>
      <x:c r="W379" s="22">
        <x:v>3</x:v>
      </x:c>
      <x:c r="X379" s="22">
        <x:v>6000</x:v>
      </x:c>
      <x:c r="Y379" s="22">
        <x:v>11</x:v>
      </x:c>
      <x:c r="Z379" s="22">
        <x:v>25</x:v>
      </x:c>
      <x:c r="AA379" s="22" t="n">
        <x:f>IFERROR((W379*X379)/Y379/Z379/D379,0)</x:f>
        <x:v>1.6363636363636362</x:v>
      </x:c>
      <x:c r="AB379" s="22">
        <x:v>0.94</x:v>
      </x:c>
      <x:c r="AC379" s="22" t="n">
        <x:f>IFERROR((I379+P379+V379+AA379)/AB379,0)</x:f>
        <x:v>5.096963142193209</x:v>
      </x:c>
    </x:row>
    <x:row r="380">
      <x:c r="A380" s="22" t="str">
        <x:v>CM20</x:v>
      </x:c>
      <x:c r="B380" s="22" t="s">
        <x:v>552</x:v>
      </x:c>
      <x:c r="C380" s="22">
        <x:v>60</x:v>
      </x:c>
      <x:c r="D380" s="22" t="n">
        <x:f>IFERROR(60*60/C380,0)</x:f>
        <x:v>60</x:v>
      </x:c>
      <x:c r="E380" s="22">
        <x:v>12</x:v>
      </x:c>
      <x:c r="F380" s="22">
        <x:v>22</x:v>
      </x:c>
      <x:c r="G380" s="22">
        <x:v>300</x:v>
      </x:c>
      <x:c r="H380" s="22">
        <x:v>2200000</x:v>
      </x:c>
      <x:c r="I380" s="22" t="n">
        <x:f>IFERROR(H380/E380/F380/G380/D380,0)</x:f>
        <x:v>0.46296296296296297</x:v>
      </x:c>
      <x:c r="J380" s="22">
        <x:v>0.62777055000000004</x:v>
      </x:c>
      <x:c r="K380" s="22">
        <x:v>70</x:v>
      </x:c>
      <x:c r="L380" s="22" t="n">
        <x:f>IFERROR(J380*K380/D380,0)</x:f>
        <x:v>0.7323989750000001</x:v>
      </x:c>
      <x:c r="M380" s="22">
        <x:v>3.7</x:v>
      </x:c>
      <x:c r="N380" s="22">
        <x:v>4</x:v>
      </x:c>
      <x:c r="O380" s="22" t="n">
        <x:f>IFERROR(N380*M380/D380,0)</x:f>
        <x:v>0.24666666666666667</x:v>
      </x:c>
      <x:c r="P380" s="22" t="n">
        <x:f>O380+L380</x:f>
        <x:v>0.9790656416666668</x:v>
      </x:c>
      <x:c r="Q380" s="22">
        <x:v>0</x:v>
      </x:c>
      <x:c r="R380" s="22">
        <x:v>0</x:v>
      </x:c>
      <x:c r="S380" s="22">
        <x:v>2</x:v>
      </x:c>
      <x:c r="T380" s="22">
        <x:v>2</x:v>
      </x:c>
      <x:c r="U380" s="22">
        <x:v>2</x:v>
      </x:c>
      <x:c r="V380" s="22" t="n">
        <x:f>IFERROR((Q380+R380+S380+T380+U380)/D380,0)</x:f>
        <x:v>0.1</x:v>
      </x:c>
      <x:c r="W380" s="22">
        <x:v>3</x:v>
      </x:c>
      <x:c r="X380" s="22">
        <x:v>6000</x:v>
      </x:c>
      <x:c r="Y380" s="22">
        <x:v>11</x:v>
      </x:c>
      <x:c r="Z380" s="22">
        <x:v>25</x:v>
      </x:c>
      <x:c r="AA380" s="22" t="n">
        <x:f>IFERROR((W380*X380)/Y380/Z380/D380,0)</x:f>
        <x:v>1.0909090909090908</x:v>
      </x:c>
      <x:c r="AB380" s="22">
        <x:v>0.95</x:v>
      </x:c>
      <x:c r="AC380" s="22" t="n">
        <x:f>IFERROR((I380+P380+V380+AA380)/AB380,0)</x:f>
        <x:v>2.7715133637249694</x:v>
      </x:c>
    </x:row>
    <x:row r="381">
      <x:c r="A381" s="22" t="str">
        <x:v>CM30</x:v>
      </x:c>
      <x:c r="B381" s="22" t="s">
        <x:v>553</x:v>
      </x:c>
      <x:c r="C381" s="22">
        <x:v>75</x:v>
      </x:c>
      <x:c r="D381" s="22" t="n">
        <x:f>IFERROR(60*60/C381,0)</x:f>
        <x:v>48</x:v>
      </x:c>
      <x:c r="E381" s="22">
        <x:v>12</x:v>
      </x:c>
      <x:c r="F381" s="22">
        <x:v>22</x:v>
      </x:c>
      <x:c r="G381" s="22">
        <x:v>300</x:v>
      </x:c>
      <x:c r="H381" s="22">
        <x:v>4200000</x:v>
      </x:c>
      <x:c r="I381" s="22" t="n">
        <x:f>IFERROR(H381/E381/F381/G381/D381,0)</x:f>
        <x:v>1.10479797979798</x:v>
      </x:c>
      <x:c r="J381" s="22">
        <x:v>0.62777055000000004</x:v>
      </x:c>
      <x:c r="K381" s="22">
        <x:v>110</x:v>
      </x:c>
      <x:c r="L381" s="22" t="n">
        <x:f>IFERROR(J381*K381/D381,0)</x:f>
        <x:v>1.43864084375</x:v>
      </x:c>
      <x:c r="M381" s="22">
        <x:v>3.7</x:v>
      </x:c>
      <x:c r="N381" s="22">
        <x:v>6</x:v>
      </x:c>
      <x:c r="O381" s="22" t="n">
        <x:f>IFERROR(N381*M381/D381,0)</x:f>
        <x:v>0.4625000000000001</x:v>
      </x:c>
      <x:c r="P381" s="22" t="n">
        <x:f>O381+L381</x:f>
        <x:v>1.9011408437500001</x:v>
      </x:c>
      <x:c r="Q381" s="22">
        <x:v>0</x:v>
      </x:c>
      <x:c r="R381" s="22">
        <x:v>0</x:v>
      </x:c>
      <x:c r="S381" s="22">
        <x:v>3</x:v>
      </x:c>
      <x:c r="T381" s="22">
        <x:v>2</x:v>
      </x:c>
      <x:c r="U381" s="22">
        <x:v>2</x:v>
      </x:c>
      <x:c r="V381" s="22" t="n">
        <x:f>IFERROR((Q381+R381+S381+T381+U381)/D381,0)</x:f>
        <x:v>0.14583333333333334</x:v>
      </x:c>
      <x:c r="W381" s="22">
        <x:v>4</x:v>
      </x:c>
      <x:c r="X381" s="22">
        <x:v>6000</x:v>
      </x:c>
      <x:c r="Y381" s="22">
        <x:v>11</x:v>
      </x:c>
      <x:c r="Z381" s="22">
        <x:v>25</x:v>
      </x:c>
      <x:c r="AA381" s="22" t="n">
        <x:f>IFERROR((W381*X381)/Y381/Z381/D381,0)</x:f>
        <x:v>1.8181818181818183</x:v>
      </x:c>
      <x:c r="AB381" s="22">
        <x:v>0.94</x:v>
      </x:c>
      <x:c r="AC381" s="22" t="n">
        <x:f>IFERROR((I381+P381+V381+AA381)/AB381,0)</x:f>
        <x:v>5.287185079854396</x:v>
      </x:c>
    </x:row>
    <x:row r="382">
      <x:c r="A382" s="22" t="str">
        <x:v>CM40</x:v>
      </x:c>
      <x:c r="B382" s="22" t="s">
        <x:v>554</x:v>
      </x:c>
      <x:c r="C382" s="22">
        <x:v>55</x:v>
      </x:c>
      <x:c r="D382" s="22" t="n">
        <x:f>IFERROR(60*60/C382,0)</x:f>
        <x:v>65.45454545454545</x:v>
      </x:c>
      <x:c r="E382" s="22">
        <x:v>10</x:v>
      </x:c>
      <x:c r="F382" s="22">
        <x:v>22</x:v>
      </x:c>
      <x:c r="G382" s="22">
        <x:v>300</x:v>
      </x:c>
      <x:c r="H382" s="22">
        <x:v>1800000</x:v>
      </x:c>
      <x:c r="I382" s="22" t="n">
        <x:f>IFERROR(H382/E382/F382/G382/D382,0)</x:f>
        <x:v>0.4166666666666667</x:v>
      </x:c>
      <x:c r="J382" s="22">
        <x:v>0.62777055000000004</x:v>
      </x:c>
      <x:c r="K382" s="22">
        <x:v>60</x:v>
      </x:c>
      <x:c r="L382" s="22" t="n">
        <x:f>IFERROR(J382*K382/D382,0)</x:f>
        <x:v>0.5754563375000001</x:v>
      </x:c>
      <x:c r="M382" s="22">
        <x:v>3.7</x:v>
      </x:c>
      <x:c r="N382" s="22">
        <x:v>4</x:v>
      </x:c>
      <x:c r="O382" s="22" t="n">
        <x:f>IFERROR(N382*M382/D382,0)</x:f>
        <x:v>0.22611111111111112</x:v>
      </x:c>
      <x:c r="P382" s="22" t="n">
        <x:f>O382+L382</x:f>
        <x:v>0.8015674486111113</x:v>
      </x:c>
      <x:c r="Q382" s="22">
        <x:v>0</x:v>
      </x:c>
      <x:c r="R382" s="22">
        <x:v>0</x:v>
      </x:c>
      <x:c r="S382" s="22">
        <x:v>2</x:v>
      </x:c>
      <x:c r="T382" s="22">
        <x:v>2</x:v>
      </x:c>
      <x:c r="U382" s="22">
        <x:v>2</x:v>
      </x:c>
      <x:c r="V382" s="22" t="n">
        <x:f>IFERROR((Q382+R382+S382+T382+U382)/D382,0)</x:f>
        <x:v>0.09166666666666667</x:v>
      </x:c>
      <x:c r="W382" s="22">
        <x:v>3</x:v>
      </x:c>
      <x:c r="X382" s="22">
        <x:v>6000</x:v>
      </x:c>
      <x:c r="Y382" s="22">
        <x:v>11</x:v>
      </x:c>
      <x:c r="Z382" s="22">
        <x:v>25</x:v>
      </x:c>
      <x:c r="AA382" s="22" t="n">
        <x:f>IFERROR((W382*X382)/Y382/Z382/D382,0)</x:f>
        <x:v>1</x:v>
      </x:c>
      <x:c r="AB382" s="22">
        <x:v>0.95</x:v>
      </x:c>
      <x:c r="AC382" s="22" t="n">
        <x:f>IFERROR((I382+P382+V382+AA382)/AB382,0)</x:f>
        <x:v>2.4314745073099417</x:v>
      </x:c>
    </x:row>
    <x:row r="383">
      <x:c r="A383" s="22"/>
      <x:c r="B383" s="22"/>
      <x:c r="C383" s="22"/>
      <x:c r="D383" s="22"/>
      <x:c r="E383" s="22"/>
      <x:c r="F383" s="22"/>
      <x:c r="G383" s="22"/>
      <x:c r="H383" s="22"/>
      <x:c r="I383" s="22"/>
      <x:c r="J383" s="22"/>
      <x:c r="K383" s="22"/>
      <x:c r="L383" s="22"/>
      <x:c r="M383" s="22"/>
      <x:c r="N383" s="22"/>
      <x:c r="O383" s="22"/>
      <x:c r="P383" s="22"/>
      <x:c r="Q383" s="22"/>
      <x:c r="R383" s="22"/>
      <x:c r="S383" s="22"/>
      <x:c r="T383" s="22"/>
      <x:c r="U383" s="22"/>
      <x:c r="V383" s="22"/>
      <x:c r="W383" s="22"/>
      <x:c r="X383" s="22"/>
      <x:c r="Y383" s="22"/>
      <x:c r="Z383" s="22"/>
      <x:c r="AA383" s="22"/>
      <x:c r="AB383" s="22"/>
      <x:c r="AC383" s="22"/>
    </x:row>
    <x:row r="384">
      <x:c r="A384" s="49" t="str">
        <x:v>发泡成型工艺</x:v>
      </x:c>
      <x:c r="B384" s="49"/>
      <x:c r="C384" s="49"/>
      <x:c r="D384" s="49"/>
      <x:c r="E384" s="49"/>
      <x:c r="F384" s="49"/>
      <x:c r="G384" s="49"/>
      <x:c r="H384" s="49"/>
      <x:c r="I384" s="49"/>
      <x:c r="J384" s="49"/>
      <x:c r="K384" s="49"/>
      <x:c r="L384" s="49"/>
      <x:c r="M384" s="49"/>
      <x:c r="N384" s="49"/>
      <x:c r="O384" s="49"/>
      <x:c r="P384" s="49"/>
      <x:c r="Q384" s="49"/>
      <x:c r="R384" s="49"/>
      <x:c r="S384" s="49"/>
      <x:c r="T384" s="49"/>
      <x:c r="U384" s="49"/>
      <x:c r="V384" s="49"/>
      <x:c r="W384" s="49"/>
      <x:c r="X384" s="49"/>
      <x:c r="Y384" s="49"/>
      <x:c r="Z384" s="49"/>
      <x:c r="AA384" s="49"/>
      <x:c r="AB384" s="49"/>
      <x:c r="AC384" s="49"/>
    </x:row>
    <x:row r="385">
      <x:c r="A385" s="22" t="str">
        <x:v>FM10</x:v>
      </x:c>
      <x:c r="B385" s="22" t="s">
        <x:v>555</x:v>
      </x:c>
      <x:c r="C385" s="22">
        <x:v>45</x:v>
      </x:c>
      <x:c r="D385" s="22" t="n">
        <x:f>IFERROR(60*60/C385,0)</x:f>
        <x:v>80</x:v>
      </x:c>
      <x:c r="E385" s="22">
        <x:v>10</x:v>
      </x:c>
      <x:c r="F385" s="22">
        <x:v>22</x:v>
      </x:c>
      <x:c r="G385" s="22">
        <x:v>300</x:v>
      </x:c>
      <x:c r="H385" s="22">
        <x:v>1200000</x:v>
      </x:c>
      <x:c r="I385" s="22" t="n">
        <x:f>IFERROR(H385/E385/F385/G385/D385,0)</x:f>
        <x:v>0.2272727272727273</x:v>
      </x:c>
      <x:c r="J385" s="22">
        <x:v>0.62777055000000004</x:v>
      </x:c>
      <x:c r="K385" s="22">
        <x:v>25</x:v>
      </x:c>
      <x:c r="L385" s="22" t="n">
        <x:f>IFERROR(J385*K385/D385,0)</x:f>
        <x:v>0.19617829687500002</x:v>
      </x:c>
      <x:c r="M385" s="22">
        <x:v>3.7</x:v>
      </x:c>
      <x:c r="N385" s="22">
        <x:v>0</x:v>
      </x:c>
      <x:c r="O385" s="22" t="n">
        <x:f>IFERROR(N385*M385/D385,0)</x:f>
        <x:v>0</x:v>
      </x:c>
      <x:c r="P385" s="22" t="n">
        <x:f>O385+L385</x:f>
        <x:v>0.19617829687500002</x:v>
      </x:c>
      <x:c r="Q385" s="22">
        <x:v>0</x:v>
      </x:c>
      <x:c r="R385" s="22">
        <x:v>0</x:v>
      </x:c>
      <x:c r="S385" s="22">
        <x:v>1</x:v>
      </x:c>
      <x:c r="T385" s="22">
        <x:v>0</x:v>
      </x:c>
      <x:c r="U385" s="22">
        <x:v>3</x:v>
      </x:c>
      <x:c r="V385" s="22" t="n">
        <x:f>IFERROR((Q385+R385+S385+T385+U385)/D385,0)</x:f>
        <x:v>0.05</x:v>
      </x:c>
      <x:c r="W385" s="22">
        <x:v>3</x:v>
      </x:c>
      <x:c r="X385" s="22">
        <x:v>6000</x:v>
      </x:c>
      <x:c r="Y385" s="22">
        <x:v>11</x:v>
      </x:c>
      <x:c r="Z385" s="22">
        <x:v>25</x:v>
      </x:c>
      <x:c r="AA385" s="22" t="n">
        <x:f>IFERROR((W385*X385)/Y385/Z385/D385,0)</x:f>
        <x:v>0.8181818181818181</x:v>
      </x:c>
      <x:c r="AB385" s="22">
        <x:v>0.94</x:v>
      </x:c>
      <x:c r="AC385" s="22" t="n">
        <x:f>IFERROR((I385+P385+V385+AA385)/AB385,0)</x:f>
        <x:v>1.3740774918399419</x:v>
      </x:c>
    </x:row>
    <x:row r="386">
      <x:c r="A386" s="22" t="str">
        <x:v>FM20</x:v>
      </x:c>
      <x:c r="B386" s="22" t="s">
        <x:v>556</x:v>
      </x:c>
      <x:c r="C386" s="22">
        <x:v>60</x:v>
      </x:c>
      <x:c r="D386" s="22" t="n">
        <x:f>IFERROR(60*60/C386,0)</x:f>
        <x:v>60</x:v>
      </x:c>
      <x:c r="E386" s="22">
        <x:v>10</x:v>
      </x:c>
      <x:c r="F386" s="22">
        <x:v>22</x:v>
      </x:c>
      <x:c r="G386" s="22">
        <x:v>300</x:v>
      </x:c>
      <x:c r="H386" s="22">
        <x:v>1500000</x:v>
      </x:c>
      <x:c r="I386" s="22" t="n">
        <x:f>IFERROR(H386/E386/F386/G386/D386,0)</x:f>
        <x:v>0.3787878787878788</x:v>
      </x:c>
      <x:c r="J386" s="22">
        <x:v>0.62777055000000004</x:v>
      </x:c>
      <x:c r="K386" s="22">
        <x:v>35</x:v>
      </x:c>
      <x:c r="L386" s="22" t="n">
        <x:f>IFERROR(J386*K386/D386,0)</x:f>
        <x:v>0.36619948750000003</x:v>
      </x:c>
      <x:c r="M386" s="22">
        <x:v>3.7</x:v>
      </x:c>
      <x:c r="N386" s="22">
        <x:v>0</x:v>
      </x:c>
      <x:c r="O386" s="22" t="n">
        <x:f>IFERROR(N386*M386/D386,0)</x:f>
        <x:v>0</x:v>
      </x:c>
      <x:c r="P386" s="22" t="n">
        <x:f>O386+L386</x:f>
        <x:v>0.36619948750000003</x:v>
      </x:c>
      <x:c r="Q386" s="22">
        <x:v>0</x:v>
      </x:c>
      <x:c r="R386" s="22">
        <x:v>0</x:v>
      </x:c>
      <x:c r="S386" s="22">
        <x:v>1</x:v>
      </x:c>
      <x:c r="T386" s="22">
        <x:v>0</x:v>
      </x:c>
      <x:c r="U386" s="22">
        <x:v>3</x:v>
      </x:c>
      <x:c r="V386" s="22" t="n">
        <x:f>IFERROR((Q386+R386+S386+T386+U386)/D386,0)</x:f>
        <x:v>0.06666666666666667</x:v>
      </x:c>
      <x:c r="W386" s="22">
        <x:v>3</x:v>
      </x:c>
      <x:c r="X386" s="22">
        <x:v>6000</x:v>
      </x:c>
      <x:c r="Y386" s="22">
        <x:v>11</x:v>
      </x:c>
      <x:c r="Z386" s="22">
        <x:v>25</x:v>
      </x:c>
      <x:c r="AA386" s="22" t="n">
        <x:f>IFERROR((W386*X386)/Y386/Z386/D386,0)</x:f>
        <x:v>1.0909090909090908</x:v>
      </x:c>
      <x:c r="AB386" s="22">
        <x:v>0.93</x:v>
      </x:c>
      <x:c r="AC386" s="22" t="n">
        <x:f>IFERROR((I386+P386+V386+AA386)/AB386,0)</x:f>
        <x:v>2.0457667998533724</x:v>
      </x:c>
    </x:row>
    <x:row r="387">
      <x:c r="A387" s="22" t="str">
        <x:v>FM30</x:v>
      </x:c>
      <x:c r="B387" s="22" t="s">
        <x:v>557</x:v>
      </x:c>
      <x:c r="C387" s="22">
        <x:v>90</x:v>
      </x:c>
      <x:c r="D387" s="22" t="n">
        <x:f>IFERROR(60*60/C387,0)</x:f>
        <x:v>40</x:v>
      </x:c>
      <x:c r="E387" s="22">
        <x:v>12</x:v>
      </x:c>
      <x:c r="F387" s="22">
        <x:v>22</x:v>
      </x:c>
      <x:c r="G387" s="22">
        <x:v>300</x:v>
      </x:c>
      <x:c r="H387" s="22">
        <x:v>3200000</x:v>
      </x:c>
      <x:c r="I387" s="22" t="n">
        <x:f>IFERROR(H387/E387/F387/G387/D387,0)</x:f>
        <x:v>1.0101010101010102</x:v>
      </x:c>
      <x:c r="J387" s="22">
        <x:v>0.62777055000000004</x:v>
      </x:c>
      <x:c r="K387" s="22">
        <x:v>80</x:v>
      </x:c>
      <x:c r="L387" s="22" t="n">
        <x:f>IFERROR(J387*K387/D387,0)</x:f>
        <x:v>1.2555411</x:v>
      </x:c>
      <x:c r="M387" s="22">
        <x:v>3.7</x:v>
      </x:c>
      <x:c r="N387" s="22">
        <x:v>10</x:v>
      </x:c>
      <x:c r="O387" s="22" t="n">
        <x:f>IFERROR(N387*M387/D387,0)</x:f>
        <x:v>0.925</x:v>
      </x:c>
      <x:c r="P387" s="22" t="n">
        <x:f>O387+L387</x:f>
        <x:v>2.1805411</x:v>
      </x:c>
      <x:c r="Q387" s="22">
        <x:v>0</x:v>
      </x:c>
      <x:c r="R387" s="22">
        <x:v>0</x:v>
      </x:c>
      <x:c r="S387" s="22">
        <x:v>5</x:v>
      </x:c>
      <x:c r="T387" s="22">
        <x:v>0</x:v>
      </x:c>
      <x:c r="U387" s="22">
        <x:v>2</x:v>
      </x:c>
      <x:c r="V387" s="22" t="n">
        <x:f>IFERROR((Q387+R387+S387+T387+U387)/D387,0)</x:f>
        <x:v>0.175</x:v>
      </x:c>
      <x:c r="W387" s="22">
        <x:v>3</x:v>
      </x:c>
      <x:c r="X387" s="22">
        <x:v>6000</x:v>
      </x:c>
      <x:c r="Y387" s="22">
        <x:v>11</x:v>
      </x:c>
      <x:c r="Z387" s="22">
        <x:v>25</x:v>
      </x:c>
      <x:c r="AA387" s="22" t="n">
        <x:f>IFERROR((W387*X387)/Y387/Z387/D387,0)</x:f>
        <x:v>1.6363636363636362</x:v>
      </x:c>
      <x:c r="AB387" s="22">
        <x:v>0.95</x:v>
      </x:c>
      <x:c r="AC387" s="22" t="n">
        <x:f>IFERROR((I387+P387+V387+AA387)/AB387,0)</x:f>
        <x:v>5.265269206804891</x:v>
      </x:c>
    </x:row>
    <x:row r="388">
      <x:c r="A388" s="22" t="str">
        <x:v>FM40</x:v>
      </x:c>
      <x:c r="B388" s="22" t="s">
        <x:v>558</x:v>
      </x:c>
      <x:c r="C388" s="22">
        <x:v>75</x:v>
      </x:c>
      <x:c r="D388" s="22" t="n">
        <x:f>IFERROR(60*60/C388,0)</x:f>
        <x:v>48</x:v>
      </x:c>
      <x:c r="E388" s="22">
        <x:v>12</x:v>
      </x:c>
      <x:c r="F388" s="22">
        <x:v>22</x:v>
      </x:c>
      <x:c r="G388" s="22">
        <x:v>300</x:v>
      </x:c>
      <x:c r="H388" s="22">
        <x:v>2500000</x:v>
      </x:c>
      <x:c r="I388" s="22" t="n">
        <x:f>IFERROR(H388/E388/F388/G388/D388,0)</x:f>
        <x:v>0.6576178451178452</x:v>
      </x:c>
      <x:c r="J388" s="22">
        <x:v>0.62777055000000004</x:v>
      </x:c>
      <x:c r="K388" s="22">
        <x:v>70</x:v>
      </x:c>
      <x:c r="L388" s="22" t="n">
        <x:f>IFERROR(J388*K388/D388,0)</x:f>
        <x:v>0.91549871875</x:v>
      </x:c>
      <x:c r="M388" s="22">
        <x:v>3.7</x:v>
      </x:c>
      <x:c r="N388" s="22">
        <x:v>8</x:v>
      </x:c>
      <x:c r="O388" s="22" t="n">
        <x:f>IFERROR(N388*M388/D388,0)</x:f>
        <x:v>0.6166666666666667</x:v>
      </x:c>
      <x:c r="P388" s="22" t="n">
        <x:f>O388+L388</x:f>
        <x:v>1.5321653854166666</x:v>
      </x:c>
      <x:c r="Q388" s="22">
        <x:v>0</x:v>
      </x:c>
      <x:c r="R388" s="22">
        <x:v>0</x:v>
      </x:c>
      <x:c r="S388" s="22">
        <x:v>5</x:v>
      </x:c>
      <x:c r="T388" s="22">
        <x:v>0</x:v>
      </x:c>
      <x:c r="U388" s="22">
        <x:v>2</x:v>
      </x:c>
      <x:c r="V388" s="22" t="n">
        <x:f>IFERROR((Q388+R388+S388+T388+U388)/D388,0)</x:f>
        <x:v>0.14583333333333334</x:v>
      </x:c>
      <x:c r="W388" s="22">
        <x:v>3</x:v>
      </x:c>
      <x:c r="X388" s="22">
        <x:v>6000</x:v>
      </x:c>
      <x:c r="Y388" s="22">
        <x:v>11</x:v>
      </x:c>
      <x:c r="Z388" s="22">
        <x:v>25</x:v>
      </x:c>
      <x:c r="AA388" s="22" t="n">
        <x:f>IFERROR((W388*X388)/Y388/Z388/D388,0)</x:f>
        <x:v>1.3636363636363635</x:v>
      </x:c>
      <x:c r="AB388" s="22">
        <x:v>0.95</x:v>
      </x:c>
      <x:c r="AC388" s="22" t="n">
        <x:f>IFERROR((I388+P388+V388+AA388)/AB388,0)</x:f>
        <x:v>3.893950450004431</x:v>
      </x:c>
    </x:row>
    <x:row r="389">
      <x:c r="A389" s="22"/>
      <x:c r="B389" s="22"/>
      <x:c r="C389" s="22"/>
      <x:c r="D389" s="22"/>
      <x:c r="E389" s="22"/>
      <x:c r="F389" s="22"/>
      <x:c r="G389" s="22"/>
      <x:c r="H389" s="22"/>
      <x:c r="I389" s="22"/>
      <x:c r="J389" s="22"/>
      <x:c r="K389" s="22"/>
      <x:c r="L389" s="22"/>
      <x:c r="M389" s="22"/>
      <x:c r="N389" s="22"/>
      <x:c r="O389" s="22"/>
      <x:c r="P389" s="22"/>
      <x:c r="Q389" s="22"/>
      <x:c r="R389" s="22"/>
      <x:c r="S389" s="22"/>
      <x:c r="T389" s="22"/>
      <x:c r="U389" s="22"/>
      <x:c r="V389" s="22"/>
      <x:c r="W389" s="22"/>
      <x:c r="X389" s="22"/>
      <x:c r="Y389" s="22"/>
      <x:c r="Z389" s="22"/>
      <x:c r="AA389" s="22"/>
      <x:c r="AB389" s="22"/>
      <x:c r="AC389" s="22"/>
    </x:row>
    <x:row r="390">
      <x:c r="A390" s="49" t="str">
        <x:v>钣金加工工艺</x:v>
      </x:c>
      <x:c r="B390" s="49"/>
      <x:c r="C390" s="49"/>
      <x:c r="D390" s="49"/>
      <x:c r="E390" s="49"/>
      <x:c r="F390" s="49"/>
      <x:c r="G390" s="49"/>
      <x:c r="H390" s="49"/>
      <x:c r="I390" s="49"/>
      <x:c r="J390" s="49"/>
      <x:c r="K390" s="49"/>
      <x:c r="L390" s="49"/>
      <x:c r="M390" s="49"/>
      <x:c r="N390" s="49"/>
      <x:c r="O390" s="49"/>
      <x:c r="P390" s="49"/>
      <x:c r="Q390" s="49"/>
      <x:c r="R390" s="49"/>
      <x:c r="S390" s="49"/>
      <x:c r="T390" s="49"/>
      <x:c r="U390" s="49"/>
      <x:c r="V390" s="49"/>
      <x:c r="W390" s="49"/>
      <x:c r="X390" s="49"/>
      <x:c r="Y390" s="49"/>
      <x:c r="Z390" s="49"/>
      <x:c r="AA390" s="49"/>
      <x:c r="AB390" s="49"/>
      <x:c r="AC390" s="49"/>
    </x:row>
    <x:row r="391">
      <x:c r="A391" s="22" t="str">
        <x:v>SM10</x:v>
      </x:c>
      <x:c r="B391" s="22" t="s">
        <x:v>559</x:v>
      </x:c>
      <x:c r="C391" s="22">
        <x:v>25</x:v>
      </x:c>
      <x:c r="D391" s="22" t="n">
        <x:f t="shared" ref="D391:D396" si="112">IFERROR(60*60/C391,0)</x:f>
        <x:v>144</x:v>
      </x:c>
      <x:c r="E391" s="22">
        <x:v>8</x:v>
      </x:c>
      <x:c r="F391" s="22">
        <x:v>22</x:v>
      </x:c>
      <x:c r="G391" s="22">
        <x:v>300</x:v>
      </x:c>
      <x:c r="H391" s="22">
        <x:v>1800000</x:v>
      </x:c>
      <x:c r="I391" s="22" t="n">
        <x:f t="shared" ref="I391:I396" si="113">IFERROR(H391/E391/F391/G391/D391,0)</x:f>
        <x:v>0.23674242424242425</x:v>
      </x:c>
      <x:c r="J391" s="22">
        <x:v>0.62777055000000004</x:v>
      </x:c>
      <x:c r="K391" s="22">
        <x:v>25</x:v>
      </x:c>
      <x:c r="L391" s="22" t="n">
        <x:f t="shared" ref="L391:L396" si="114">IFERROR(J391*K391/D391,0)</x:f>
        <x:v>0.10898794270833334</x:v>
      </x:c>
      <x:c r="M391" s="22">
        <x:v>3.7</x:v>
      </x:c>
      <x:c r="N391" s="22">
        <x:v>2</x:v>
      </x:c>
      <x:c r="O391" s="22" t="n">
        <x:f t="shared" ref="O391:O396" si="115">IFERROR(N391*M391/D391,0)</x:f>
        <x:v>0.051388888888888894</x:v>
      </x:c>
      <x:c r="P391" s="22" t="n">
        <x:f t="shared" ref="P391:P396" si="116">O391+L391</x:f>
        <x:v>0.16037683159722224</x:v>
      </x:c>
      <x:c r="Q391" s="22">
        <x:v>0</x:v>
      </x:c>
      <x:c r="R391" s="22">
        <x:v>0</x:v>
      </x:c>
      <x:c r="S391" s="22">
        <x:v>0</x:v>
      </x:c>
      <x:c r="T391" s="22">
        <x:v>2</x:v>
      </x:c>
      <x:c r="U391" s="22">
        <x:v>1</x:v>
      </x:c>
      <x:c r="V391" s="22" t="n">
        <x:f t="shared" ref="V391:V396" si="117">IFERROR((Q391+R391+S391+T391+U391)/D391,0)</x:f>
        <x:v>0.020833333333333332</x:v>
      </x:c>
      <x:c r="W391" s="22">
        <x:v>1</x:v>
      </x:c>
      <x:c r="X391" s="22">
        <x:v>6000</x:v>
      </x:c>
      <x:c r="Y391" s="22">
        <x:v>11</x:v>
      </x:c>
      <x:c r="Z391" s="22">
        <x:v>25</x:v>
      </x:c>
      <x:c r="AA391" s="22" t="n">
        <x:f t="shared" ref="AA391:AA396" si="118">IFERROR((W391*X391)/Y391/Z391/D391,0)</x:f>
        <x:v>0.15151515151515152</x:v>
      </x:c>
      <x:c r="AB391" s="22">
        <x:v>0.98</x:v>
      </x:c>
      <x:c r="AC391" s="22" t="n">
        <x:f t="shared" ref="AC391:AC396" si="119">IFERROR((I391+P391+V391+AA391)/AB391,0)</x:f>
        <x:v>0.5810895313144198</x:v>
      </x:c>
    </x:row>
    <x:row r="392">
      <x:c r="A392" s="22" t="str">
        <x:v>SM20</x:v>
      </x:c>
      <x:c r="B392" s="22" t="s">
        <x:v>560</x:v>
      </x:c>
      <x:c r="C392" s="22">
        <x:v>8</x:v>
      </x:c>
      <x:c r="D392" s="22">
        <x:f t="shared" si="112"/>
        <x:v>450</x:v>
      </x:c>
      <x:c r="E392" s="22">
        <x:v>10</x:v>
      </x:c>
      <x:c r="F392" s="22">
        <x:v>22</x:v>
      </x:c>
      <x:c r="G392" s="22">
        <x:v>300</x:v>
      </x:c>
      <x:c r="H392" s="22">
        <x:v>2200000</x:v>
      </x:c>
      <x:c r="I392" s="22">
        <x:f t="shared" si="113"/>
        <x:v>7.4074074074074084E-2</x:v>
      </x:c>
      <x:c r="J392" s="22">
        <x:v>0.62777055000000004</x:v>
      </x:c>
      <x:c r="K392" s="22">
        <x:v>30</x:v>
      </x:c>
      <x:c r="L392" s="22">
        <x:f t="shared" si="114"/>
        <x:v>4.1851370000000006E-2</x:v>
      </x:c>
      <x:c r="M392" s="22">
        <x:v>3.7</x:v>
      </x:c>
      <x:c r="N392" s="22">
        <x:v>0</x:v>
      </x:c>
      <x:c r="O392" s="22">
        <x:f t="shared" si="115"/>
        <x:v>0</x:v>
      </x:c>
      <x:c r="P392" s="22">
        <x:f t="shared" si="116"/>
        <x:v>4.1851370000000006E-2</x:v>
      </x:c>
      <x:c r="Q392" s="22">
        <x:v>1</x:v>
      </x:c>
      <x:c r="R392" s="22">
        <x:v>0</x:v>
      </x:c>
      <x:c r="S392" s="22">
        <x:v>0</x:v>
      </x:c>
      <x:c r="T392" s="22">
        <x:v>5</x:v>
      </x:c>
      <x:c r="U392" s="22">
        <x:v>1</x:v>
      </x:c>
      <x:c r="V392" s="22">
        <x:f t="shared" si="117"/>
        <x:v>1.5555555555555555E-2</x:v>
      </x:c>
      <x:c r="W392" s="22">
        <x:v>1</x:v>
      </x:c>
      <x:c r="X392" s="22">
        <x:v>6000</x:v>
      </x:c>
      <x:c r="Y392" s="22">
        <x:v>11</x:v>
      </x:c>
      <x:c r="Z392" s="22">
        <x:v>25</x:v>
      </x:c>
      <x:c r="AA392" s="22">
        <x:f t="shared" si="118"/>
        <x:v>4.8484848484848492E-2</x:v>
      </x:c>
      <x:c r="AB392" s="22">
        <x:v>0.98</x:v>
      </x:c>
      <x:c r="AC392" s="22">
        <x:f t="shared" si="119"/>
        <x:v>0.1836386205249777</x:v>
      </x:c>
    </x:row>
    <x:row r="393">
      <x:c r="A393" s="22" t="str">
        <x:v>SM30</x:v>
      </x:c>
      <x:c r="B393" s="22" t="s">
        <x:v>561</x:v>
      </x:c>
      <x:c r="C393" s="22">
        <x:v>20</x:v>
      </x:c>
      <x:c r="D393" s="22">
        <x:f t="shared" si="112"/>
        <x:v>180</x:v>
      </x:c>
      <x:c r="E393" s="22">
        <x:v>10</x:v>
      </x:c>
      <x:c r="F393" s="22">
        <x:v>22</x:v>
      </x:c>
      <x:c r="G393" s="22">
        <x:v>300</x:v>
      </x:c>
      <x:c r="H393" s="22">
        <x:v>900000</x:v>
      </x:c>
      <x:c r="I393" s="22">
        <x:f t="shared" si="113"/>
        <x:v>7.575757575757576E-2</x:v>
      </x:c>
      <x:c r="J393" s="22">
        <x:v>0.62777055000000004</x:v>
      </x:c>
      <x:c r="K393" s="22">
        <x:v>12</x:v>
      </x:c>
      <x:c r="L393" s="22">
        <x:f t="shared" si="114"/>
        <x:v>4.1851369999999999E-2</x:v>
      </x:c>
      <x:c r="M393" s="22">
        <x:v>3.7</x:v>
      </x:c>
      <x:c r="N393" s="22">
        <x:v>0</x:v>
      </x:c>
      <x:c r="O393" s="22">
        <x:f t="shared" si="115"/>
        <x:v>0</x:v>
      </x:c>
      <x:c r="P393" s="22">
        <x:f t="shared" si="116"/>
        <x:v>4.1851369999999999E-2</x:v>
      </x:c>
      <x:c r="Q393" s="22">
        <x:v>1</x:v>
      </x:c>
      <x:c r="R393" s="22">
        <x:v>0</x:v>
      </x:c>
      <x:c r="S393" s="22">
        <x:v>0</x:v>
      </x:c>
      <x:c r="T393" s="22">
        <x:v>2</x:v>
      </x:c>
      <x:c r="U393" s="22">
        <x:v>1</x:v>
      </x:c>
      <x:c r="V393" s="22">
        <x:f t="shared" si="117"/>
        <x:v>2.2222222222222223E-2</x:v>
      </x:c>
      <x:c r="W393" s="22">
        <x:v>1</x:v>
      </x:c>
      <x:c r="X393" s="22">
        <x:v>6000</x:v>
      </x:c>
      <x:c r="Y393" s="22">
        <x:v>11</x:v>
      </x:c>
      <x:c r="Z393" s="22">
        <x:v>25</x:v>
      </x:c>
      <x:c r="AA393" s="22">
        <x:f t="shared" si="118"/>
        <x:v>0.12121212121212123</x:v>
      </x:c>
      <x:c r="AB393" s="22">
        <x:v>0.98499999999999999</x:v>
      </x:c>
      <x:c r="AC393" s="22">
        <x:f t="shared" si="119"/>
        <x:v>0.26501856770753218</x:v>
      </x:c>
    </x:row>
    <x:row r="394">
      <x:c r="A394" s="22" t="str">
        <x:v>SM40</x:v>
      </x:c>
      <x:c r="B394" s="22" t="s">
        <x:v>562</x:v>
      </x:c>
      <x:c r="C394" s="22">
        <x:v>3</x:v>
      </x:c>
      <x:c r="D394" s="22">
        <x:f t="shared" si="112"/>
        <x:v>1200</x:v>
      </x:c>
      <x:c r="E394" s="22">
        <x:v>12</x:v>
      </x:c>
      <x:c r="F394" s="22">
        <x:v>22</x:v>
      </x:c>
      <x:c r="G394" s="22">
        <x:v>300</x:v>
      </x:c>
      <x:c r="H394" s="22">
        <x:v>2800000</x:v>
      </x:c>
      <x:c r="I394" s="22">
        <x:f t="shared" si="113"/>
        <x:v>2.9461279461279462E-2</x:v>
      </x:c>
      <x:c r="J394" s="22">
        <x:v>0.62777055000000004</x:v>
      </x:c>
      <x:c r="K394" s="22">
        <x:v>45</x:v>
      </x:c>
      <x:c r="L394" s="22">
        <x:f t="shared" si="114"/>
        <x:v>2.3541395624999999E-2</x:v>
      </x:c>
      <x:c r="M394" s="22">
        <x:v>3.7</x:v>
      </x:c>
      <x:c r="N394" s="22">
        <x:v>0</x:v>
      </x:c>
      <x:c r="O394" s="22">
        <x:f t="shared" si="115"/>
        <x:v>0</x:v>
      </x:c>
      <x:c r="P394" s="22">
        <x:f t="shared" si="116"/>
        <x:v>2.3541395624999999E-2</x:v>
      </x:c>
      <x:c r="Q394" s="22">
        <x:v>1</x:v>
      </x:c>
      <x:c r="R394" s="22">
        <x:v>0</x:v>
      </x:c>
      <x:c r="S394" s="22">
        <x:v>0</x:v>
      </x:c>
      <x:c r="T394" s="22">
        <x:v>3</x:v>
      </x:c>
      <x:c r="U394" s="22">
        <x:v>1</x:v>
      </x:c>
      <x:c r="V394" s="22">
        <x:f t="shared" si="117"/>
        <x:v>4.1666666666666666E-3</x:v>
      </x:c>
      <x:c r="W394" s="22">
        <x:v>3</x:v>
      </x:c>
      <x:c r="X394" s="22">
        <x:v>6000</x:v>
      </x:c>
      <x:c r="Y394" s="22">
        <x:v>11</x:v>
      </x:c>
      <x:c r="Z394" s="22">
        <x:v>25</x:v>
      </x:c>
      <x:c r="AA394" s="22">
        <x:f t="shared" si="118"/>
        <x:v>5.4545454545454543E-2</x:v>
      </x:c>
      <x:c r="AB394" s="22">
        <x:v>0.97</x:v>
      </x:c>
      <x:c r="AC394" s="22">
        <x:f t="shared" si="119"/>
        <x:v>0.11516989309113472</x:v>
      </x:c>
    </x:row>
    <x:row r="395">
      <x:c r="A395" s="22" t="str">
        <x:v>SM50</x:v>
      </x:c>
      <x:c r="B395" s="22" t="s">
        <x:v>563</x:v>
      </x:c>
      <x:c r="C395" s="22">
        <x:v>12</x:v>
      </x:c>
      <x:c r="D395" s="22">
        <x:f t="shared" si="112"/>
        <x:v>300</x:v>
      </x:c>
      <x:c r="E395" s="22">
        <x:v>10</x:v>
      </x:c>
      <x:c r="F395" s="22">
        <x:v>22</x:v>
      </x:c>
      <x:c r="G395" s="22">
        <x:v>300</x:v>
      </x:c>
      <x:c r="H395" s="22">
        <x:v>650000</x:v>
      </x:c>
      <x:c r="I395" s="22">
        <x:f t="shared" si="113"/>
        <x:v>3.2828282828282825E-2</x:v>
      </x:c>
      <x:c r="J395" s="22">
        <x:v>0.62777055000000004</x:v>
      </x:c>
      <x:c r="K395" s="22">
        <x:v>8</x:v>
      </x:c>
      <x:c r="L395" s="22">
        <x:f t="shared" si="114"/>
        <x:v>1.6740548000000001E-2</x:v>
      </x:c>
      <x:c r="M395" s="22">
        <x:v>3.7</x:v>
      </x:c>
      <x:c r="N395" s="22">
        <x:v>0</x:v>
      </x:c>
      <x:c r="O395" s="22">
        <x:f t="shared" si="115"/>
        <x:v>0</x:v>
      </x:c>
      <x:c r="P395" s="22">
        <x:f t="shared" si="116"/>
        <x:v>1.6740548000000001E-2</x:v>
      </x:c>
      <x:c r="Q395" s="22">
        <x:v>1</x:v>
      </x:c>
      <x:c r="R395" s="22">
        <x:v>0</x:v>
      </x:c>
      <x:c r="S395" s="22">
        <x:v>0</x:v>
      </x:c>
      <x:c r="T395" s="22">
        <x:v>2</x:v>
      </x:c>
      <x:c r="U395" s="22">
        <x:v>1</x:v>
      </x:c>
      <x:c r="V395" s="22">
        <x:f t="shared" si="117"/>
        <x:v>1.3333333333333334E-2</x:v>
      </x:c>
      <x:c r="W395" s="22">
        <x:v>1</x:v>
      </x:c>
      <x:c r="X395" s="22">
        <x:v>6000</x:v>
      </x:c>
      <x:c r="Y395" s="22">
        <x:v>11</x:v>
      </x:c>
      <x:c r="Z395" s="22">
        <x:v>25</x:v>
      </x:c>
      <x:c r="AA395" s="22">
        <x:f t="shared" si="118"/>
        <x:v>7.2727272727272738E-2</x:v>
      </x:c>
      <x:c r="AB395" s="22">
        <x:v>0.98</x:v>
      </x:c>
      <x:c r="AC395" s="22">
        <x:f t="shared" si="119"/>
        <x:v>0.13839738458049888</x:v>
      </x:c>
    </x:row>
    <x:row r="396">
      <x:c r="A396" s="22" t="str">
        <x:v>SM60</x:v>
      </x:c>
      <x:c r="B396" s="22" t="s">
        <x:v>564</x:v>
      </x:c>
      <x:c r="C396" s="22">
        <x:v>8</x:v>
      </x:c>
      <x:c r="D396" s="22">
        <x:f t="shared" si="112"/>
        <x:v>450</x:v>
      </x:c>
      <x:c r="E396" s="22">
        <x:v>10</x:v>
      </x:c>
      <x:c r="F396" s="22">
        <x:v>22</x:v>
      </x:c>
      <x:c r="G396" s="22">
        <x:v>300</x:v>
      </x:c>
      <x:c r="H396" s="22">
        <x:v>450000</x:v>
      </x:c>
      <x:c r="I396" s="22">
        <x:f t="shared" si="113"/>
        <x:v>1.5151515151515152E-2</x:v>
      </x:c>
      <x:c r="J396" s="22">
        <x:v>0.62777055000000004</x:v>
      </x:c>
      <x:c r="K396" s="22">
        <x:v>7</x:v>
      </x:c>
      <x:c r="L396" s="22">
        <x:f t="shared" si="114"/>
        <x:v>9.7653196666666678E-3</x:v>
      </x:c>
      <x:c r="M396" s="22">
        <x:v>3.7</x:v>
      </x:c>
      <x:c r="N396" s="22">
        <x:v>0</x:v>
      </x:c>
      <x:c r="O396" s="22">
        <x:f t="shared" si="115"/>
        <x:v>0</x:v>
      </x:c>
      <x:c r="P396" s="22">
        <x:f t="shared" si="116"/>
        <x:v>9.7653196666666678E-3</x:v>
      </x:c>
      <x:c r="Q396" s="22">
        <x:v>1</x:v>
      </x:c>
      <x:c r="R396" s="22">
        <x:v>0</x:v>
      </x:c>
      <x:c r="S396" s="22">
        <x:v>0</x:v>
      </x:c>
      <x:c r="T396" s="22">
        <x:v>1</x:v>
      </x:c>
      <x:c r="U396" s="22">
        <x:v>1</x:v>
      </x:c>
      <x:c r="V396" s="22">
        <x:f t="shared" si="117"/>
        <x:v>6.6666666666666671E-3</x:v>
      </x:c>
      <x:c r="W396" s="22">
        <x:v>1</x:v>
      </x:c>
      <x:c r="X396" s="22">
        <x:v>6000</x:v>
      </x:c>
      <x:c r="Y396" s="22">
        <x:v>11</x:v>
      </x:c>
      <x:c r="Z396" s="22">
        <x:v>25</x:v>
      </x:c>
      <x:c r="AA396" s="22">
        <x:f t="shared" si="118"/>
        <x:v>4.8484848484848492E-2</x:v>
      </x:c>
      <x:c r="AB396" s="22">
        <x:v>0.99</x:v>
      </x:c>
      <x:c r="AC396" s="22">
        <x:f t="shared" si="119"/>
        <x:v>8.0877121181512093E-2</x:v>
      </x:c>
    </x:row>
    <x:row r="397">
      <x:c r="A397" s="22"/>
      <x:c r="B397" s="22"/>
      <x:c r="C397" s="22"/>
      <x:c r="D397" s="22"/>
      <x:c r="E397" s="22"/>
      <x:c r="F397" s="22"/>
      <x:c r="G397" s="22"/>
      <x:c r="H397" s="22"/>
      <x:c r="I397" s="22"/>
      <x:c r="J397" s="22"/>
      <x:c r="K397" s="22"/>
      <x:c r="L397" s="22"/>
      <x:c r="M397" s="22"/>
      <x:c r="N397" s="22"/>
      <x:c r="O397" s="22"/>
      <x:c r="P397" s="22"/>
      <x:c r="Q397" s="22"/>
      <x:c r="R397" s="22"/>
      <x:c r="S397" s="22"/>
      <x:c r="T397" s="22"/>
      <x:c r="U397" s="22"/>
      <x:c r="V397" s="22"/>
      <x:c r="W397" s="22"/>
      <x:c r="X397" s="22"/>
      <x:c r="Y397" s="22"/>
      <x:c r="Z397" s="22"/>
      <x:c r="AA397" s="22"/>
      <x:c r="AB397" s="22"/>
      <x:c r="AC397" s="22"/>
    </x:row>
    <x:row r="398">
      <x:c r="A398" s="49" t="str">
        <x:v>热处理工艺</x:v>
      </x:c>
      <x:c r="B398" s="49"/>
      <x:c r="C398" s="49"/>
      <x:c r="D398" s="49"/>
      <x:c r="E398" s="49"/>
      <x:c r="F398" s="49"/>
      <x:c r="G398" s="49"/>
      <x:c r="H398" s="49"/>
      <x:c r="I398" s="49"/>
      <x:c r="J398" s="49"/>
      <x:c r="K398" s="49"/>
      <x:c r="L398" s="49"/>
      <x:c r="M398" s="49"/>
      <x:c r="N398" s="49"/>
      <x:c r="O398" s="49"/>
      <x:c r="P398" s="49"/>
      <x:c r="Q398" s="49"/>
      <x:c r="R398" s="49"/>
      <x:c r="S398" s="49"/>
      <x:c r="T398" s="49"/>
      <x:c r="U398" s="49"/>
      <x:c r="V398" s="49"/>
      <x:c r="W398" s="49"/>
      <x:c r="X398" s="49"/>
      <x:c r="Y398" s="49"/>
      <x:c r="Z398" s="49"/>
      <x:c r="AA398" s="49"/>
      <x:c r="AB398" s="49"/>
      <x:c r="AC398" s="49"/>
    </x:row>
    <x:row r="399">
      <x:c r="A399" s="22" t="str">
        <x:v>HT10</x:v>
      </x:c>
      <x:c r="B399" s="22" t="s">
        <x:v>565</x:v>
      </x:c>
      <x:c r="C399" s="22">
        <x:v>8</x:v>
      </x:c>
      <x:c r="D399" s="22" t="n">
        <x:f t="shared" ref="D399:D404" si="120">IFERROR(60*60/C399,0)</x:f>
        <x:v>450</x:v>
      </x:c>
      <x:c r="E399" s="22">
        <x:v>12</x:v>
      </x:c>
      <x:c r="F399" s="22">
        <x:v>22</x:v>
      </x:c>
      <x:c r="G399" s="22">
        <x:v>300</x:v>
      </x:c>
      <x:c r="H399" s="22">
        <x:v>3500000</x:v>
      </x:c>
      <x:c r="I399" s="22" t="n">
        <x:f t="shared" ref="I399:I404" si="121">IFERROR(H399/E399/F399/G399/D399,0)</x:f>
        <x:v>0.09820426487093153</x:v>
      </x:c>
      <x:c r="J399" s="22">
        <x:v>0.62777055000000004</x:v>
      </x:c>
      <x:c r="K399" s="22">
        <x:v>180</x:v>
      </x:c>
      <x:c r="L399" s="22" t="n">
        <x:f t="shared" ref="L399:L404" si="122">IFERROR(J399*K399/D399,0)</x:f>
        <x:v>0.25110822</x:v>
      </x:c>
      <x:c r="M399" s="22">
        <x:v>3.7</x:v>
      </x:c>
      <x:c r="N399" s="22">
        <x:v>15</x:v>
      </x:c>
      <x:c r="O399" s="22" t="n">
        <x:f t="shared" ref="O399:O404" si="123">IFERROR(N399*M399/D399,0)</x:f>
        <x:v>0.12333333333333334</x:v>
      </x:c>
      <x:c r="P399" s="22" t="n">
        <x:f t="shared" ref="P399:P404" si="124">O399+L399</x:f>
        <x:v>0.37444155333333334</x:v>
      </x:c>
      <x:c r="Q399" s="22">
        <x:v>0</x:v>
      </x:c>
      <x:c r="R399" s="22">
        <x:v>0</x:v>
      </x:c>
      <x:c r="S399" s="22">
        <x:v>6</x:v>
      </x:c>
      <x:c r="T399" s="22">
        <x:v>0</x:v>
      </x:c>
      <x:c r="U399" s="22">
        <x:v>3</x:v>
      </x:c>
      <x:c r="V399" s="22" t="n">
        <x:f t="shared" ref="V399:V404" si="125">IFERROR((Q399+R399+S399+T399+U399)/D399,0)</x:f>
        <x:v>0.02</x:v>
      </x:c>
      <x:c r="W399" s="22">
        <x:v>4</x:v>
      </x:c>
      <x:c r="X399" s="22">
        <x:v>6000</x:v>
      </x:c>
      <x:c r="Y399" s="22">
        <x:v>11</x:v>
      </x:c>
      <x:c r="Z399" s="22">
        <x:v>25</x:v>
      </x:c>
      <x:c r="AA399" s="22" t="n">
        <x:f t="shared" ref="AA399:AA404" si="126">IFERROR((W399*X399)/Y399/Z399/D399,0)</x:f>
        <x:v>0.19393939393939397</x:v>
      </x:c>
      <x:c r="AB399" s="22">
        <x:v>0.96</x:v>
      </x:c>
      <x:c r="AC399" s="22" t="n">
        <x:f t="shared" ref="AC399:AC404" si="127">IFERROR((I399+P399+V399+AA399)/AB399,0)</x:f>
        <x:v>0.7151929293163113</x:v>
      </x:c>
    </x:row>
    <x:row r="400">
      <x:c r="A400" s="22" t="str">
        <x:v>HT20</x:v>
      </x:c>
      <x:c r="B400" s="22" t="s">
        <x:v>566</x:v>
      </x:c>
      <x:c r="C400" s="22">
        <x:v>10</x:v>
      </x:c>
      <x:c r="D400" s="22">
        <x:f t="shared" si="120"/>
        <x:v>360</x:v>
      </x:c>
      <x:c r="E400" s="22">
        <x:v>12</x:v>
      </x:c>
      <x:c r="F400" s="22">
        <x:v>22</x:v>
      </x:c>
      <x:c r="G400" s="22">
        <x:v>300</x:v>
      </x:c>
      <x:c r="H400" s="22">
        <x:v>4500000</x:v>
      </x:c>
      <x:c r="I400" s="22">
        <x:f t="shared" si="121"/>
        <x:v>0.15782828282828282</x:v>
      </x:c>
      <x:c r="J400" s="22">
        <x:v>0.62777055000000004</x:v>
      </x:c>
      <x:c r="K400" s="22">
        <x:v>220</x:v>
      </x:c>
      <x:c r="L400" s="22">
        <x:f t="shared" si="122"/>
        <x:v>0.38363755833333335</x:v>
      </x:c>
      <x:c r="M400" s="22">
        <x:v>3.7</x:v>
      </x:c>
      <x:c r="N400" s="22">
        <x:v>18</x:v>
      </x:c>
      <x:c r="O400" s="22">
        <x:f t="shared" si="123"/>
        <x:v>0.18500000000000003</x:v>
      </x:c>
      <x:c r="P400" s="22">
        <x:f t="shared" si="124"/>
        <x:v>0.5686375583333334</x:v>
      </x:c>
      <x:c r="Q400" s="22">
        <x:v>0</x:v>
      </x:c>
      <x:c r="R400" s="22">
        <x:v>0</x:v>
      </x:c>
      <x:c r="S400" s="22">
        <x:v>6</x:v>
      </x:c>
      <x:c r="T400" s="22">
        <x:v>0</x:v>
      </x:c>
      <x:c r="U400" s="22">
        <x:v>3</x:v>
      </x:c>
      <x:c r="V400" s="22">
        <x:f t="shared" si="125"/>
        <x:v>2.5000000000000001E-2</x:v>
      </x:c>
      <x:c r="W400" s="22">
        <x:v>4</x:v>
      </x:c>
      <x:c r="X400" s="22">
        <x:v>6000</x:v>
      </x:c>
      <x:c r="Y400" s="22">
        <x:v>11</x:v>
      </x:c>
      <x:c r="Z400" s="22">
        <x:v>25</x:v>
      </x:c>
      <x:c r="AA400" s="22">
        <x:f t="shared" si="126"/>
        <x:v>0.24242424242424246</x:v>
      </x:c>
      <x:c r="AB400" s="22">
        <x:v>0.95</x:v>
      </x:c>
      <x:c r="AC400" s="22">
        <x:f t="shared" si="127"/>
        <x:v>1.0462000879851145</x:v>
      </x:c>
    </x:row>
    <x:row r="401">
      <x:c r="A401" s="22" t="str">
        <x:v>HT30</x:v>
      </x:c>
      <x:c r="B401" s="22" t="s">
        <x:v>567</x:v>
      </x:c>
      <x:c r="C401" s="22">
        <x:v>12</x:v>
      </x:c>
      <x:c r="D401" s="22">
        <x:f t="shared" si="120"/>
        <x:v>300</x:v>
      </x:c>
      <x:c r="E401" s="22">
        <x:v>12</x:v>
      </x:c>
      <x:c r="F401" s="22">
        <x:v>22</x:v>
      </x:c>
      <x:c r="G401" s="22">
        <x:v>300</x:v>
      </x:c>
      <x:c r="H401" s="22">
        <x:v>3800000</x:v>
      </x:c>
      <x:c r="I401" s="22">
        <x:f t="shared" si="121"/>
        <x:v>0.15993265993265993</x:v>
      </x:c>
      <x:c r="J401" s="22">
        <x:v>0.62777055000000004</x:v>
      </x:c>
      <x:c r="K401" s="22">
        <x:v>160</x:v>
      </x:c>
      <x:c r="L401" s="22">
        <x:f t="shared" si="122"/>
        <x:v>0.33481096000000005</x:v>
      </x:c>
      <x:c r="M401" s="22">
        <x:v>3.7</x:v>
      </x:c>
      <x:c r="N401" s="22">
        <x:v>16</x:v>
      </x:c>
      <x:c r="O401" s="22">
        <x:f t="shared" si="123"/>
        <x:v>0.19733333333333333</x:v>
      </x:c>
      <x:c r="P401" s="22">
        <x:f t="shared" si="124"/>
        <x:v>0.53214429333333335</x:v>
      </x:c>
      <x:c r="Q401" s="22">
        <x:v>0</x:v>
      </x:c>
      <x:c r="R401" s="22">
        <x:v>0</x:v>
      </x:c>
      <x:c r="S401" s="22">
        <x:v>4</x:v>
      </x:c>
      <x:c r="T401" s="22">
        <x:v>0</x:v>
      </x:c>
      <x:c r="U401" s="22">
        <x:v>3</x:v>
      </x:c>
      <x:c r="V401" s="22">
        <x:f t="shared" si="125"/>
        <x:v>2.3333333333333334E-2</x:v>
      </x:c>
      <x:c r="W401" s="22">
        <x:v>3</x:v>
      </x:c>
      <x:c r="X401" s="22">
        <x:v>6000</x:v>
      </x:c>
      <x:c r="Y401" s="22">
        <x:v>11</x:v>
      </x:c>
      <x:c r="Z401" s="22">
        <x:v>25</x:v>
      </x:c>
      <x:c r="AA401" s="22">
        <x:f t="shared" si="126"/>
        <x:v>0.21818181818181817</x:v>
      </x:c>
      <x:c r="AB401" s="22">
        <x:v>0.96</x:v>
      </x:c>
      <x:c r="AC401" s="22">
        <x:f t="shared" si="127"/>
        <x:v>0.97249177581369251</x:v>
      </x:c>
    </x:row>
    <x:row r="402">
      <x:c r="A402" s="22" t="str">
        <x:v>HT40</x:v>
      </x:c>
      <x:c r="B402" s="22" t="s">
        <x:v>568</x:v>
      </x:c>
      <x:c r="C402" s="22">
        <x:v>8</x:v>
      </x:c>
      <x:c r="D402" s="22">
        <x:f t="shared" si="120"/>
        <x:v>450</x:v>
      </x:c>
      <x:c r="E402" s="22">
        <x:v>12</x:v>
      </x:c>
      <x:c r="F402" s="22">
        <x:v>22</x:v>
      </x:c>
      <x:c r="G402" s="22">
        <x:v>300</x:v>
      </x:c>
      <x:c r="H402" s="22">
        <x:v>3200000</x:v>
      </x:c>
      <x:c r="I402" s="22">
        <x:f t="shared" si="121"/>
        <x:v>8.9786756453423128E-2</x:v>
      </x:c>
      <x:c r="J402" s="22">
        <x:v>0.62777055000000004</x:v>
      </x:c>
      <x:c r="K402" s="22">
        <x:v>180</x:v>
      </x:c>
      <x:c r="L402" s="22">
        <x:f t="shared" si="122"/>
        <x:v>0.25110821999999999</x:v>
      </x:c>
      <x:c r="M402" s="22">
        <x:v>3.7</x:v>
      </x:c>
      <x:c r="N402" s="22">
        <x:v>12</x:v>
      </x:c>
      <x:c r="O402" s="22">
        <x:f t="shared" si="123"/>
        <x:v>9.866666666666668E-2</x:v>
      </x:c>
      <x:c r="P402" s="22">
        <x:f t="shared" si="124"/>
        <x:v>0.34977488666666667</x:v>
      </x:c>
      <x:c r="Q402" s="22">
        <x:v>0</x:v>
      </x:c>
      <x:c r="R402" s="22">
        <x:v>0</x:v>
      </x:c>
      <x:c r="S402" s="22">
        <x:v>5</x:v>
      </x:c>
      <x:c r="T402" s="22">
        <x:v>0</x:v>
      </x:c>
      <x:c r="U402" s="22">
        <x:v>2</x:v>
      </x:c>
      <x:c r="V402" s="22">
        <x:f t="shared" si="125"/>
        <x:v>1.5555555555555555E-2</x:v>
      </x:c>
      <x:c r="W402" s="22">
        <x:v>3</x:v>
      </x:c>
      <x:c r="X402" s="22">
        <x:v>6000</x:v>
      </x:c>
      <x:c r="Y402" s="22">
        <x:v>11</x:v>
      </x:c>
      <x:c r="Z402" s="22">
        <x:v>25</x:v>
      </x:c>
      <x:c r="AA402" s="22">
        <x:f t="shared" si="126"/>
        <x:v>0.14545454545454545</x:v>
      </x:c>
      <x:c r="AB402" s="22">
        <x:v>0.97</x:v>
      </x:c>
      <x:c r="AC402" s="22">
        <x:f t="shared" si="127"/>
        <x:v>0.61914612796926882</x:v>
      </x:c>
    </x:row>
    <x:row r="403">
      <x:c r="A403" s="22" t="str">
        <x:v>HT50</x:v>
      </x:c>
      <x:c r="B403" s="22" t="s">
        <x:v>569</x:v>
      </x:c>
      <x:c r="C403" s="22">
        <x:v>6</x:v>
      </x:c>
      <x:c r="D403" s="22">
        <x:f t="shared" si="120"/>
        <x:v>600</x:v>
      </x:c>
      <x:c r="E403" s="22">
        <x:v>12</x:v>
      </x:c>
      <x:c r="F403" s="22">
        <x:v>22</x:v>
      </x:c>
      <x:c r="G403" s="22">
        <x:v>300</x:v>
      </x:c>
      <x:c r="H403" s="22">
        <x:v>2200000</x:v>
      </x:c>
      <x:c r="I403" s="22">
        <x:f t="shared" si="121"/>
        <x:v>4.6296296296296301E-2</x:v>
      </x:c>
      <x:c r="J403" s="22">
        <x:v>0.62777055000000004</x:v>
      </x:c>
      <x:c r="K403" s="22">
        <x:v>120</x:v>
      </x:c>
      <x:c r="L403" s="22">
        <x:f t="shared" si="122"/>
        <x:v>0.12555411000000002</x:v>
      </x:c>
      <x:c r="M403" s="22">
        <x:v>3.7</x:v>
      </x:c>
      <x:c r="N403" s="22">
        <x:v>10</x:v>
      </x:c>
      <x:c r="O403" s="22">
        <x:f t="shared" si="123"/>
        <x:v>6.1666666666666668E-2</x:v>
      </x:c>
      <x:c r="P403" s="22">
        <x:f t="shared" si="124"/>
        <x:v>0.1872207766666667</x:v>
      </x:c>
      <x:c r="Q403" s="22">
        <x:v>0</x:v>
      </x:c>
      <x:c r="R403" s="22">
        <x:v>0</x:v>
      </x:c>
      <x:c r="S403" s="22">
        <x:v>2</x:v>
      </x:c>
      <x:c r="T403" s="22">
        <x:v>0</x:v>
      </x:c>
      <x:c r="U403" s="22">
        <x:v>2</x:v>
      </x:c>
      <x:c r="V403" s="22">
        <x:f t="shared" si="125"/>
        <x:v>6.6666666666666671E-3</x:v>
      </x:c>
      <x:c r="W403" s="22">
        <x:v>3</x:v>
      </x:c>
      <x:c r="X403" s="22">
        <x:v>6000</x:v>
      </x:c>
      <x:c r="Y403" s="22">
        <x:v>11</x:v>
      </x:c>
      <x:c r="Z403" s="22">
        <x:v>25</x:v>
      </x:c>
      <x:c r="AA403" s="22">
        <x:f t="shared" si="126"/>
        <x:v>0.10909090909090909</x:v>
      </x:c>
      <x:c r="AB403" s="22">
        <x:v>0.98</x:v>
      </x:c>
      <x:c r="AC403" s="22">
        <x:f t="shared" si="127"/>
        <x:v>0.35640270277605995</x:v>
      </x:c>
    </x:row>
    <x:row r="404">
      <x:c r="A404" s="22" t="str">
        <x:v>HT60</x:v>
      </x:c>
      <x:c r="B404" s="22" t="s">
        <x:v>570</x:v>
      </x:c>
      <x:c r="C404" s="22">
        <x:v>15</x:v>
      </x:c>
      <x:c r="D404" s="22">
        <x:f t="shared" si="120"/>
        <x:v>240</x:v>
      </x:c>
      <x:c r="E404" s="22">
        <x:v>10</x:v>
      </x:c>
      <x:c r="F404" s="22">
        <x:v>22</x:v>
      </x:c>
      <x:c r="G404" s="22">
        <x:v>300</x:v>
      </x:c>
      <x:c r="H404" s="22">
        <x:v>1200000</x:v>
      </x:c>
      <x:c r="I404" s="22">
        <x:f t="shared" si="121"/>
        <x:v>7.575757575757576E-2</x:v>
      </x:c>
      <x:c r="J404" s="22">
        <x:v>0.62777055000000004</x:v>
      </x:c>
      <x:c r="K404" s="22">
        <x:v>80</x:v>
      </x:c>
      <x:c r="L404" s="22">
        <x:f t="shared" si="122"/>
        <x:v>0.20925685000000002</x:v>
      </x:c>
      <x:c r="M404" s="22">
        <x:v>3.7</x:v>
      </x:c>
      <x:c r="N404" s="22">
        <x:v>0</x:v>
      </x:c>
      <x:c r="O404" s="22">
        <x:f t="shared" si="123"/>
        <x:v>0</x:v>
      </x:c>
      <x:c r="P404" s="22">
        <x:f t="shared" si="124"/>
        <x:v>0.20925685000000002</x:v>
      </x:c>
      <x:c r="Q404" s="22">
        <x:v>0</x:v>
      </x:c>
      <x:c r="R404" s="22">
        <x:v>0</x:v>
      </x:c>
      <x:c r="S404" s="22">
        <x:v>3</x:v>
      </x:c>
      <x:c r="T404" s="22">
        <x:v>0</x:v>
      </x:c>
      <x:c r="U404" s="22">
        <x:v>2</x:v>
      </x:c>
      <x:c r="V404" s="22">
        <x:f t="shared" si="125"/>
        <x:v>2.0833333333333332E-2</x:v>
      </x:c>
      <x:c r="W404" s="22">
        <x:v>2</x:v>
      </x:c>
      <x:c r="X404" s="22">
        <x:v>6000</x:v>
      </x:c>
      <x:c r="Y404" s="22">
        <x:v>11</x:v>
      </x:c>
      <x:c r="Z404" s="22">
        <x:v>25</x:v>
      </x:c>
      <x:c r="AA404" s="22">
        <x:f t="shared" si="126"/>
        <x:v>0.18181818181818182</x:v>
      </x:c>
      <x:c r="AB404" s="22">
        <x:v>0.97</x:v>
      </x:c>
      <x:c r="AC404" s="22">
        <x:f t="shared" si="127"/>
        <x:v>0.50274839268978444</x:v>
      </x:c>
    </x:row>
    <x:row r="405">
      <x:c r="A405" s="22"/>
      <x:c r="B405" s="22"/>
      <x:c r="C405" s="22"/>
      <x:c r="D405" s="22"/>
      <x:c r="E405" s="22"/>
      <x:c r="F405" s="22"/>
      <x:c r="G405" s="22"/>
      <x:c r="H405" s="22"/>
      <x:c r="I405" s="22"/>
      <x:c r="J405" s="22"/>
      <x:c r="K405" s="22"/>
      <x:c r="L405" s="22"/>
      <x:c r="M405" s="22"/>
      <x:c r="N405" s="22"/>
      <x:c r="O405" s="22"/>
      <x:c r="P405" s="22"/>
      <x:c r="Q405" s="22"/>
      <x:c r="R405" s="22"/>
      <x:c r="S405" s="22"/>
      <x:c r="T405" s="22"/>
      <x:c r="U405" s="22"/>
      <x:c r="V405" s="22"/>
      <x:c r="W405" s="22"/>
      <x:c r="X405" s="22"/>
      <x:c r="Y405" s="22"/>
      <x:c r="Z405" s="22"/>
      <x:c r="AA405" s="22"/>
      <x:c r="AB405" s="22"/>
      <x:c r="AC405" s="22"/>
    </x:row>
    <x:row r="406">
      <x:c r="A406" s="49" t="str">
        <x:v>粘接/压装/机械连接工艺</x:v>
      </x:c>
      <x:c r="B406" s="49"/>
      <x:c r="C406" s="49"/>
      <x:c r="D406" s="49"/>
      <x:c r="E406" s="49"/>
      <x:c r="F406" s="49"/>
      <x:c r="G406" s="49"/>
      <x:c r="H406" s="49"/>
      <x:c r="I406" s="49"/>
      <x:c r="J406" s="49"/>
      <x:c r="K406" s="49"/>
      <x:c r="L406" s="49"/>
      <x:c r="M406" s="49"/>
      <x:c r="N406" s="49"/>
      <x:c r="O406" s="49"/>
      <x:c r="P406" s="49"/>
      <x:c r="Q406" s="49"/>
      <x:c r="R406" s="49"/>
      <x:c r="S406" s="49"/>
      <x:c r="T406" s="49"/>
      <x:c r="U406" s="49"/>
      <x:c r="V406" s="49"/>
      <x:c r="W406" s="49"/>
      <x:c r="X406" s="49"/>
      <x:c r="Y406" s="49"/>
      <x:c r="Z406" s="49"/>
      <x:c r="AA406" s="49"/>
      <x:c r="AB406" s="49"/>
      <x:c r="AC406" s="49"/>
    </x:row>
    <x:row r="407">
      <x:c r="A407" s="22" t="str">
        <x:v>AS10</x:v>
      </x:c>
      <x:c r="B407" s="22" t="s">
        <x:v>571</x:v>
      </x:c>
      <x:c r="C407" s="22">
        <x:v>10</x:v>
      </x:c>
      <x:c r="D407" s="22" t="n">
        <x:f t="shared" ref="D407:D412" si="128">IFERROR(60*60/C407,0)</x:f>
        <x:v>360</x:v>
      </x:c>
      <x:c r="E407" s="22">
        <x:v>8</x:v>
      </x:c>
      <x:c r="F407" s="22">
        <x:v>22</x:v>
      </x:c>
      <x:c r="G407" s="22">
        <x:v>300</x:v>
      </x:c>
      <x:c r="H407" s="22">
        <x:v>350000</x:v>
      </x:c>
      <x:c r="I407" s="22" t="n">
        <x:f t="shared" ref="I407:I412" si="129">IFERROR(H407/E407/F407/G407/D407,0)</x:f>
        <x:v>0.018413299663299663</x:v>
      </x:c>
      <x:c r="J407" s="22">
        <x:v>0.62777055000000004</x:v>
      </x:c>
      <x:c r="K407" s="22">
        <x:v>2</x:v>
      </x:c>
      <x:c r="L407" s="22" t="n">
        <x:f t="shared" ref="L407:L412" si="130">IFERROR(J407*K407/D407,0)</x:f>
        <x:v>0.003487614166666667</x:v>
      </x:c>
      <x:c r="M407" s="22">
        <x:v>3.7</x:v>
      </x:c>
      <x:c r="N407" s="22">
        <x:v>0</x:v>
      </x:c>
      <x:c r="O407" s="22" t="n">
        <x:f t="shared" ref="O407:O412" si="131">IFERROR(N407*M407/D407,0)</x:f>
        <x:v>0</x:v>
      </x:c>
      <x:c r="P407" s="22" t="n">
        <x:f t="shared" ref="P407:P412" si="132">O407+L407</x:f>
        <x:v>0.003487614166666667</x:v>
      </x:c>
      <x:c r="Q407" s="22">
        <x:v>0</x:v>
      </x:c>
      <x:c r="R407" s="22">
        <x:v>0</x:v>
      </x:c>
      <x:c r="S407" s="22">
        <x:v>0</x:v>
      </x:c>
      <x:c r="T407" s="22">
        <x:v>0</x:v>
      </x:c>
      <x:c r="U407" s="22">
        <x:v>2</x:v>
      </x:c>
      <x:c r="V407" s="22" t="n">
        <x:f t="shared" ref="V407:V412" si="133">IFERROR((Q407+R407+S407+T407+U407)/D407,0)</x:f>
        <x:v>0.005555555555555556</x:v>
      </x:c>
      <x:c r="W407" s="22">
        <x:v>1</x:v>
      </x:c>
      <x:c r="X407" s="22">
        <x:v>6000</x:v>
      </x:c>
      <x:c r="Y407" s="22">
        <x:v>11</x:v>
      </x:c>
      <x:c r="Z407" s="22">
        <x:v>25</x:v>
      </x:c>
      <x:c r="AA407" s="22" t="n">
        <x:f t="shared" ref="AA407:AA412" si="134">IFERROR((W407*X407)/Y407/Z407/D407,0)</x:f>
        <x:v>0.060606060606060615</x:v>
      </x:c>
      <x:c r="AB407" s="22">
        <x:v>0.98499999999999999</x:v>
      </x:c>
      <x:c r="AC407" s="22" t="n">
        <x:f t="shared" ref="AC407:AC412" si="135">IFERROR((I407+P407+V407+AA407)/AB407,0)</x:f>
        <x:v>0.08940358374779948</x:v>
      </x:c>
    </x:row>
    <x:row r="408">
      <x:c r="A408" s="22" t="str">
        <x:v>AS20</x:v>
      </x:c>
      <x:c r="B408" s="22" t="s">
        <x:v>572</x:v>
      </x:c>
      <x:c r="C408" s="22">
        <x:v>12</x:v>
      </x:c>
      <x:c r="D408" s="22">
        <x:f t="shared" si="128"/>
        <x:v>300</x:v>
      </x:c>
      <x:c r="E408" s="22">
        <x:v>8</x:v>
      </x:c>
      <x:c r="F408" s="22">
        <x:v>22</x:v>
      </x:c>
      <x:c r="G408" s="22">
        <x:v>300</x:v>
      </x:c>
      <x:c r="H408" s="22">
        <x:v>450000</x:v>
      </x:c>
      <x:c r="I408" s="22">
        <x:f t="shared" si="129"/>
        <x:v>2.8409090909090912E-2</x:v>
      </x:c>
      <x:c r="J408" s="22">
        <x:v>0.62777055000000004</x:v>
      </x:c>
      <x:c r="K408" s="22">
        <x:v>3</x:v>
      </x:c>
      <x:c r="L408" s="22">
        <x:f t="shared" si="130"/>
        <x:v>6.2777055000000003E-3</x:v>
      </x:c>
      <x:c r="M408" s="22">
        <x:v>3.7</x:v>
      </x:c>
      <x:c r="N408" s="22">
        <x:v>0</x:v>
      </x:c>
      <x:c r="O408" s="22">
        <x:f t="shared" si="131"/>
        <x:v>0</x:v>
      </x:c>
      <x:c r="P408" s="22">
        <x:f t="shared" si="132"/>
        <x:v>6.2777055000000003E-3</x:v>
      </x:c>
      <x:c r="Q408" s="22">
        <x:v>0</x:v>
      </x:c>
      <x:c r="R408" s="22">
        <x:v>0</x:v>
      </x:c>
      <x:c r="S408" s="22">
        <x:v>0</x:v>
      </x:c>
      <x:c r="T408" s="22">
        <x:v>0</x:v>
      </x:c>
      <x:c r="U408" s="22">
        <x:v>3</x:v>
      </x:c>
      <x:c r="V408" s="22">
        <x:f t="shared" si="133"/>
        <x:v>0.01</x:v>
      </x:c>
      <x:c r="W408" s="22">
        <x:v>1</x:v>
      </x:c>
      <x:c r="X408" s="22">
        <x:v>6000</x:v>
      </x:c>
      <x:c r="Y408" s="22">
        <x:v>11</x:v>
      </x:c>
      <x:c r="Z408" s="22">
        <x:v>25</x:v>
      </x:c>
      <x:c r="AA408" s="22">
        <x:f t="shared" si="134"/>
        <x:v>7.2727272727272738E-2</x:v>
      </x:c>
      <x:c r="AB408" s="22">
        <x:v>0.98</x:v>
      </x:c>
      <x:c r="AC408" s="22">
        <x:f t="shared" si="135"/>
        <x:v>0.1198102746289425</x:v>
      </x:c>
    </x:row>
    <x:row r="409">
      <x:c r="A409" s="22" t="str">
        <x:v>AS30</x:v>
      </x:c>
      <x:c r="B409" s="22" t="s">
        <x:v>573</x:v>
      </x:c>
      <x:c r="C409" s="22">
        <x:v>8</x:v>
      </x:c>
      <x:c r="D409" s="22">
        <x:f t="shared" si="128"/>
        <x:v>450</x:v>
      </x:c>
      <x:c r="E409" s="22">
        <x:v>8</x:v>
      </x:c>
      <x:c r="F409" s="22">
        <x:v>22</x:v>
      </x:c>
      <x:c r="G409" s="22">
        <x:v>300</x:v>
      </x:c>
      <x:c r="H409" s="22">
        <x:v>280000</x:v>
      </x:c>
      <x:c r="I409" s="22">
        <x:f t="shared" si="129"/>
        <x:v>1.1784511784511786E-2</x:v>
      </x:c>
      <x:c r="J409" s="22">
        <x:v>0.62777055000000004</x:v>
      </x:c>
      <x:c r="K409" s="22">
        <x:v>5</x:v>
      </x:c>
      <x:c r="L409" s="22">
        <x:f t="shared" si="130"/>
        <x:v>6.975228333333334E-3</x:v>
      </x:c>
      <x:c r="M409" s="22">
        <x:v>3.7</x:v>
      </x:c>
      <x:c r="N409" s="22">
        <x:v>0</x:v>
      </x:c>
      <x:c r="O409" s="22">
        <x:f t="shared" si="131"/>
        <x:v>0</x:v>
      </x:c>
      <x:c r="P409" s="22">
        <x:f t="shared" si="132"/>
        <x:v>6.975228333333334E-3</x:v>
      </x:c>
      <x:c r="Q409" s="22">
        <x:v>0</x:v>
      </x:c>
      <x:c r="R409" s="22">
        <x:v>0</x:v>
      </x:c>
      <x:c r="S409" s="22">
        <x:v>0</x:v>
      </x:c>
      <x:c r="T409" s="22">
        <x:v>0</x:v>
      </x:c>
      <x:c r="U409" s="22">
        <x:v>2</x:v>
      </x:c>
      <x:c r="V409" s="22">
        <x:f t="shared" si="133"/>
        <x:v>4.4444444444444444E-3</x:v>
      </x:c>
      <x:c r="W409" s="22">
        <x:v>1</x:v>
      </x:c>
      <x:c r="X409" s="22">
        <x:v>6000</x:v>
      </x:c>
      <x:c r="Y409" s="22">
        <x:v>11</x:v>
      </x:c>
      <x:c r="Z409" s="22">
        <x:v>25</x:v>
      </x:c>
      <x:c r="AA409" s="22">
        <x:f t="shared" si="134"/>
        <x:v>4.8484848484848492E-2</x:v>
      </x:c>
      <x:c r="AB409" s="22">
        <x:v>0.98499999999999999</x:v>
      </x:c>
      <x:c r="AC409" s="22">
        <x:f t="shared" si="135"/>
        <x:v>7.2780744210292445E-2</x:v>
      </x:c>
    </x:row>
    <x:row r="410">
      <x:c r="A410" s="22" t="str">
        <x:v>AS40</x:v>
      </x:c>
      <x:c r="B410" s="22" t="s">
        <x:v>574</x:v>
      </x:c>
      <x:c r="C410" s="22">
        <x:v>15</x:v>
      </x:c>
      <x:c r="D410" s="22">
        <x:f t="shared" si="128"/>
        <x:v>240</x:v>
      </x:c>
      <x:c r="E410" s="22">
        <x:v>8</x:v>
      </x:c>
      <x:c r="F410" s="22">
        <x:v>22</x:v>
      </x:c>
      <x:c r="G410" s="22">
        <x:v>300</x:v>
      </x:c>
      <x:c r="H410" s="22">
        <x:v>380000</x:v>
      </x:c>
      <x:c r="I410" s="22">
        <x:f t="shared" si="129"/>
        <x:v>2.9987373737373736E-2</x:v>
      </x:c>
      <x:c r="J410" s="22">
        <x:v>0.62777055000000004</x:v>
      </x:c>
      <x:c r="K410" s="22">
        <x:v>4</x:v>
      </x:c>
      <x:c r="L410" s="22">
        <x:f t="shared" si="130"/>
        <x:v>1.0462842500000001E-2</x:v>
      </x:c>
      <x:c r="M410" s="22">
        <x:v>3.7</x:v>
      </x:c>
      <x:c r="N410" s="22">
        <x:v>0</x:v>
      </x:c>
      <x:c r="O410" s="22">
        <x:f t="shared" si="131"/>
        <x:v>0</x:v>
      </x:c>
      <x:c r="P410" s="22">
        <x:f t="shared" si="132"/>
        <x:v>1.0462842500000001E-2</x:v>
      </x:c>
      <x:c r="Q410" s="22">
        <x:v>0</x:v>
      </x:c>
      <x:c r="R410" s="22">
        <x:v>0</x:v>
      </x:c>
      <x:c r="S410" s="22">
        <x:v>0</x:v>
      </x:c>
      <x:c r="T410" s="22">
        <x:v>1</x:v>
      </x:c>
      <x:c r="U410" s="22">
        <x:v>1</x:v>
      </x:c>
      <x:c r="V410" s="22">
        <x:f t="shared" si="133"/>
        <x:v>8.3333333333333332E-3</x:v>
      </x:c>
      <x:c r="W410" s="22">
        <x:v>1</x:v>
      </x:c>
      <x:c r="X410" s="22">
        <x:v>6000</x:v>
      </x:c>
      <x:c r="Y410" s="22">
        <x:v>11</x:v>
      </x:c>
      <x:c r="Z410" s="22">
        <x:v>25</x:v>
      </x:c>
      <x:c r="AA410" s="22">
        <x:f t="shared" si="134"/>
        <x:v>9.0909090909090912E-2</x:v>
      </x:c>
      <x:c r="AB410" s="22">
        <x:v>0.98499999999999999</x:v>
      </x:c>
      <x:c r="AC410" s="22">
        <x:f t="shared" si="135"/>
        <x:v>0.14181993957339897</x:v>
      </x:c>
    </x:row>
    <x:row r="411">
      <x:c r="A411" s="22" t="str">
        <x:v>AS50</x:v>
      </x:c>
      <x:c r="B411" s="22" t="s">
        <x:v>575</x:v>
      </x:c>
      <x:c r="C411" s="22">
        <x:v>20</x:v>
      </x:c>
      <x:c r="D411" s="22">
        <x:f t="shared" si="128"/>
        <x:v>180</x:v>
      </x:c>
      <x:c r="E411" s="22">
        <x:v>10</x:v>
      </x:c>
      <x:c r="F411" s="22">
        <x:v>22</x:v>
      </x:c>
      <x:c r="G411" s="22">
        <x:v>300</x:v>
      </x:c>
      <x:c r="H411" s="22">
        <x:v>1200000</x:v>
      </x:c>
      <x:c r="I411" s="22">
        <x:f t="shared" si="129"/>
        <x:v>0.10101010101010102</x:v>
      </x:c>
      <x:c r="J411" s="22">
        <x:v>0.62777055000000004</x:v>
      </x:c>
      <x:c r="K411" s="22">
        <x:v>15</x:v>
      </x:c>
      <x:c r="L411" s="22">
        <x:f t="shared" si="130"/>
        <x:v>5.2314212500000006E-2</x:v>
      </x:c>
      <x:c r="M411" s="22">
        <x:v>3.7</x:v>
      </x:c>
      <x:c r="N411" s="22">
        <x:v>0</x:v>
      </x:c>
      <x:c r="O411" s="22">
        <x:f t="shared" si="131"/>
        <x:v>0</x:v>
      </x:c>
      <x:c r="P411" s="22">
        <x:f t="shared" si="132"/>
        <x:v>5.2314212500000006E-2</x:v>
      </x:c>
      <x:c r="Q411" s="22">
        <x:v>1</x:v>
      </x:c>
      <x:c r="R411" s="22">
        <x:v>0</x:v>
      </x:c>
      <x:c r="S411" s="22">
        <x:v>0</x:v>
      </x:c>
      <x:c r="T411" s="22">
        <x:v>2</x:v>
      </x:c>
      <x:c r="U411" s="22">
        <x:v>1</x:v>
      </x:c>
      <x:c r="V411" s="22">
        <x:f t="shared" si="133"/>
        <x:v>2.2222222222222223E-2</x:v>
      </x:c>
      <x:c r="W411" s="22">
        <x:v>2</x:v>
      </x:c>
      <x:c r="X411" s="22">
        <x:v>6000</x:v>
      </x:c>
      <x:c r="Y411" s="22">
        <x:v>11</x:v>
      </x:c>
      <x:c r="Z411" s="22">
        <x:v>25</x:v>
      </x:c>
      <x:c r="AA411" s="22">
        <x:f t="shared" si="134"/>
        <x:v>0.24242424242424246</x:v>
      </x:c>
      <x:c r="AB411" s="22">
        <x:v>0.98</x:v>
      </x:c>
      <x:c r="AC411" s="22">
        <x:f t="shared" si="135"/>
        <x:v>0.42650079403731195</x:v>
      </x:c>
    </x:row>
    <x:row r="412">
      <x:c r="A412" s="22" t="str">
        <x:v>AS60</x:v>
      </x:c>
      <x:c r="B412" s="22" t="s">
        <x:v>576</x:v>
      </x:c>
      <x:c r="C412" s="22">
        <x:v>5</x:v>
      </x:c>
      <x:c r="D412" s="22">
        <x:f t="shared" si="128"/>
        <x:v>720</x:v>
      </x:c>
      <x:c r="E412" s="22">
        <x:v>8</x:v>
      </x:c>
      <x:c r="F412" s="22">
        <x:v>22</x:v>
      </x:c>
      <x:c r="G412" s="22">
        <x:v>300</x:v>
      </x:c>
      <x:c r="H412" s="22">
        <x:v>280000</x:v>
      </x:c>
      <x:c r="I412" s="22">
        <x:f t="shared" si="129"/>
        <x:v>7.3653198653198665E-3</x:v>
      </x:c>
      <x:c r="J412" s="22">
        <x:v>0.62777055000000004</x:v>
      </x:c>
      <x:c r="K412" s="22">
        <x:v>3</x:v>
      </x:c>
      <x:c r="L412" s="22">
        <x:f t="shared" si="130"/>
        <x:v>2.6157106249999999E-3</x:v>
      </x:c>
      <x:c r="M412" s="22">
        <x:v>3.7</x:v>
      </x:c>
      <x:c r="N412" s="22">
        <x:v>0</x:v>
      </x:c>
      <x:c r="O412" s="22">
        <x:f t="shared" si="131"/>
        <x:v>0</x:v>
      </x:c>
      <x:c r="P412" s="22">
        <x:f t="shared" si="132"/>
        <x:v>2.6157106249999999E-3</x:v>
      </x:c>
      <x:c r="Q412" s="22">
        <x:v>0</x:v>
      </x:c>
      <x:c r="R412" s="22">
        <x:v>0</x:v>
      </x:c>
      <x:c r="S412" s="22">
        <x:v>0</x:v>
      </x:c>
      <x:c r="T412" s="22">
        <x:v>1</x:v>
      </x:c>
      <x:c r="U412" s="22">
        <x:v>1</x:v>
      </x:c>
      <x:c r="V412" s="22">
        <x:f t="shared" si="133"/>
        <x:v>2.7777777777777779E-3</x:v>
      </x:c>
      <x:c r="W412" s="22">
        <x:v>1</x:v>
      </x:c>
      <x:c r="X412" s="22">
        <x:v>6000</x:v>
      </x:c>
      <x:c r="Y412" s="22">
        <x:v>11</x:v>
      </x:c>
      <x:c r="Z412" s="22">
        <x:v>25</x:v>
      </x:c>
      <x:c r="AA412" s="22">
        <x:f t="shared" si="134"/>
        <x:v>3.0303030303030307E-2</x:v>
      </x:c>
      <x:c r="AB412" s="22">
        <x:v>0.98499999999999999</x:v>
      </x:c>
      <x:c r="AC412" s="22">
        <x:f t="shared" si="135"/>
        <x:v>4.3717602610282187E-2</x:v>
      </x:c>
    </x:row>
    <x:row r="413">
      <x:c r="A413" s="22"/>
      <x:c r="B413" s="22"/>
      <x:c r="C413" s="22"/>
      <x:c r="D413" s="22"/>
      <x:c r="E413" s="22"/>
      <x:c r="F413" s="22"/>
      <x:c r="G413" s="22"/>
      <x:c r="H413" s="22"/>
      <x:c r="I413" s="22"/>
      <x:c r="J413" s="22"/>
      <x:c r="K413" s="22"/>
      <x:c r="L413" s="22"/>
      <x:c r="M413" s="22"/>
      <x:c r="N413" s="22"/>
      <x:c r="O413" s="22"/>
      <x:c r="P413" s="22"/>
      <x:c r="Q413" s="22"/>
      <x:c r="R413" s="22"/>
      <x:c r="S413" s="22"/>
      <x:c r="T413" s="22"/>
      <x:c r="U413" s="22"/>
      <x:c r="V413" s="22"/>
      <x:c r="W413" s="22"/>
      <x:c r="X413" s="22"/>
      <x:c r="Y413" s="22"/>
      <x:c r="Z413" s="22"/>
      <x:c r="AA413" s="22"/>
      <x:c r="AB413" s="22"/>
      <x:c r="AC413" s="22"/>
    </x:row>
    <x:row r="414">
      <x:c r="A414" s="49" t="str">
        <x:v>塑料连接工艺</x:v>
      </x:c>
      <x:c r="B414" s="49"/>
      <x:c r="C414" s="49"/>
      <x:c r="D414" s="49"/>
      <x:c r="E414" s="49"/>
      <x:c r="F414" s="49"/>
      <x:c r="G414" s="49"/>
      <x:c r="H414" s="49"/>
      <x:c r="I414" s="49"/>
      <x:c r="J414" s="49"/>
      <x:c r="K414" s="49"/>
      <x:c r="L414" s="49"/>
      <x:c r="M414" s="49"/>
      <x:c r="N414" s="49"/>
      <x:c r="O414" s="49"/>
      <x:c r="P414" s="49"/>
      <x:c r="Q414" s="49"/>
      <x:c r="R414" s="49"/>
      <x:c r="S414" s="49"/>
      <x:c r="T414" s="49"/>
      <x:c r="U414" s="49"/>
      <x:c r="V414" s="49"/>
      <x:c r="W414" s="49"/>
      <x:c r="X414" s="49"/>
      <x:c r="Y414" s="49"/>
      <x:c r="Z414" s="49"/>
      <x:c r="AA414" s="49"/>
      <x:c r="AB414" s="49"/>
      <x:c r="AC414" s="49"/>
    </x:row>
    <x:row r="415">
      <x:c r="A415" s="22" t="str">
        <x:v>PJ10</x:v>
      </x:c>
      <x:c r="B415" s="22" t="s">
        <x:v>577</x:v>
      </x:c>
      <x:c r="C415" s="22">
        <x:v>25</x:v>
      </x:c>
      <x:c r="D415" s="22" t="n">
        <x:f>IFERROR(60*60/C415,0)</x:f>
        <x:v>144</x:v>
      </x:c>
      <x:c r="E415" s="22">
        <x:v>8</x:v>
      </x:c>
      <x:c r="F415" s="22">
        <x:v>22</x:v>
      </x:c>
      <x:c r="G415" s="22">
        <x:v>300</x:v>
      </x:c>
      <x:c r="H415" s="22">
        <x:v>350000</x:v>
      </x:c>
      <x:c r="I415" s="22" t="n">
        <x:f>IFERROR(H415/E415/F415/G415/D415,0)</x:f>
        <x:v>0.04603324915824916</x:v>
      </x:c>
      <x:c r="J415" s="22">
        <x:v>0.62777055000000004</x:v>
      </x:c>
      <x:c r="K415" s="22">
        <x:v>8</x:v>
      </x:c>
      <x:c r="L415" s="22" t="n">
        <x:f>IFERROR(J415*K415/D415,0)</x:f>
        <x:v>0.034876141666666666</x:v>
      </x:c>
      <x:c r="M415" s="22">
        <x:v>3.7</x:v>
      </x:c>
      <x:c r="N415" s="22">
        <x:v>0</x:v>
      </x:c>
      <x:c r="O415" s="22" t="n">
        <x:f>IFERROR(N415*M415/D415,0)</x:f>
        <x:v>0</x:v>
      </x:c>
      <x:c r="P415" s="22" t="n">
        <x:f>O415+L415</x:f>
        <x:v>0.034876141666666666</x:v>
      </x:c>
      <x:c r="Q415" s="22">
        <x:v>0</x:v>
      </x:c>
      <x:c r="R415" s="22">
        <x:v>0</x:v>
      </x:c>
      <x:c r="S415" s="22">
        <x:v>0</x:v>
      </x:c>
      <x:c r="T415" s="22">
        <x:v>1</x:v>
      </x:c>
      <x:c r="U415" s="22">
        <x:v>1</x:v>
      </x:c>
      <x:c r="V415" s="22" t="n">
        <x:f>IFERROR((Q415+R415+S415+T415+U415)/D415,0)</x:f>
        <x:v>0.013888888888888888</x:v>
      </x:c>
      <x:c r="W415" s="22">
        <x:v>1</x:v>
      </x:c>
      <x:c r="X415" s="22">
        <x:v>6000</x:v>
      </x:c>
      <x:c r="Y415" s="22">
        <x:v>11</x:v>
      </x:c>
      <x:c r="Z415" s="22">
        <x:v>25</x:v>
      </x:c>
      <x:c r="AA415" s="22" t="n">
        <x:f>IFERROR((W415*X415)/Y415/Z415/D415,0)</x:f>
        <x:v>0.15151515151515152</x:v>
      </x:c>
      <x:c r="AB415" s="22">
        <x:v>0.98</x:v>
      </x:c>
      <x:c r="AC415" s="22" t="n">
        <x:f>IFERROR((I415+P415+V415+AA415)/AB415,0)</x:f>
        <x:v>0.25134023594791455</x:v>
      </x:c>
    </x:row>
    <x:row r="416">
      <x:c r="A416" s="22" t="str">
        <x:v>PJ20</x:v>
      </x:c>
      <x:c r="B416" s="22" t="s">
        <x:v>578</x:v>
      </x:c>
      <x:c r="C416" s="22">
        <x:v>18</x:v>
      </x:c>
      <x:c r="D416" s="22" t="n">
        <x:f>IFERROR(60*60/C416,0)</x:f>
        <x:v>200</x:v>
      </x:c>
      <x:c r="E416" s="22">
        <x:v>8</x:v>
      </x:c>
      <x:c r="F416" s="22">
        <x:v>22</x:v>
      </x:c>
      <x:c r="G416" s="22">
        <x:v>300</x:v>
      </x:c>
      <x:c r="H416" s="22">
        <x:v>900000</x:v>
      </x:c>
      <x:c r="I416" s="22" t="n">
        <x:f>IFERROR(H416/E416/F416/G416/D416,0)</x:f>
        <x:v>0.08522727272727273</x:v>
      </x:c>
      <x:c r="J416" s="22">
        <x:v>0.62777055000000004</x:v>
      </x:c>
      <x:c r="K416" s="22">
        <x:v>15</x:v>
      </x:c>
      <x:c r="L416" s="22" t="n">
        <x:f>IFERROR(J416*K416/D416,0)</x:f>
        <x:v>0.047082791250000006</x:v>
      </x:c>
      <x:c r="M416" s="22">
        <x:v>3.7</x:v>
      </x:c>
      <x:c r="N416" s="22">
        <x:v>0</x:v>
      </x:c>
      <x:c r="O416" s="22" t="n">
        <x:f>IFERROR(N416*M416/D416,0)</x:f>
        <x:v>0</x:v>
      </x:c>
      <x:c r="P416" s="22" t="n">
        <x:f>O416+L416</x:f>
        <x:v>0.047082791250000006</x:v>
      </x:c>
      <x:c r="Q416" s="22">
        <x:v>0</x:v>
      </x:c>
      <x:c r="R416" s="22">
        <x:v>0</x:v>
      </x:c>
      <x:c r="S416" s="22">
        <x:v>0</x:v>
      </x:c>
      <x:c r="T416" s="22">
        <x:v>2</x:v>
      </x:c>
      <x:c r="U416" s="22">
        <x:v>1</x:v>
      </x:c>
      <x:c r="V416" s="22" t="n">
        <x:f>IFERROR((Q416+R416+S416+T416+U416)/D416,0)</x:f>
        <x:v>0.015</x:v>
      </x:c>
      <x:c r="W416" s="22">
        <x:v>1</x:v>
      </x:c>
      <x:c r="X416" s="22">
        <x:v>6000</x:v>
      </x:c>
      <x:c r="Y416" s="22">
        <x:v>11</x:v>
      </x:c>
      <x:c r="Z416" s="22">
        <x:v>25</x:v>
      </x:c>
      <x:c r="AA416" s="22" t="n">
        <x:f>IFERROR((W416*X416)/Y416/Z416/D416,0)</x:f>
        <x:v>0.1090909090909091</x:v>
      </x:c>
      <x:c r="AB416" s="22">
        <x:v>0.98</x:v>
      </x:c>
      <x:c r="AC416" s="22" t="n">
        <x:f>IFERROR((I416+P416+V416+AA416)/AB416,0)</x:f>
        <x:v>0.2616336459879407</x:v>
      </x:c>
    </x:row>
    <x:row r="417">
      <x:c r="A417" s="22" t="str">
        <x:v>PJ30</x:v>
      </x:c>
      <x:c r="B417" s="22" t="s">
        <x:v>579</x:v>
      </x:c>
      <x:c r="C417" s="22">
        <x:v>10</x:v>
      </x:c>
      <x:c r="D417" s="22" t="n">
        <x:f>IFERROR(60*60/C417,0)</x:f>
        <x:v>360</x:v>
      </x:c>
      <x:c r="E417" s="22">
        <x:v>8</x:v>
      </x:c>
      <x:c r="F417" s="22">
        <x:v>22</x:v>
      </x:c>
      <x:c r="G417" s="22">
        <x:v>300</x:v>
      </x:c>
      <x:c r="H417" s="22">
        <x:v>280000</x:v>
      </x:c>
      <x:c r="I417" s="22" t="n">
        <x:f>IFERROR(H417/E417/F417/G417/D417,0)</x:f>
        <x:v>0.014730639730639733</x:v>
      </x:c>
      <x:c r="J417" s="22">
        <x:v>0.62777055000000004</x:v>
      </x:c>
      <x:c r="K417" s="22">
        <x:v>5</x:v>
      </x:c>
      <x:c r="L417" s="22" t="n">
        <x:f>IFERROR(J417*K417/D417,0)</x:f>
        <x:v>0.008719035416666668</x:v>
      </x:c>
      <x:c r="M417" s="22">
        <x:v>3.7</x:v>
      </x:c>
      <x:c r="N417" s="22">
        <x:v>0</x:v>
      </x:c>
      <x:c r="O417" s="22" t="n">
        <x:f>IFERROR(N417*M417/D417,0)</x:f>
        <x:v>0</x:v>
      </x:c>
      <x:c r="P417" s="22" t="n">
        <x:f>O417+L417</x:f>
        <x:v>0.008719035416666668</x:v>
      </x:c>
      <x:c r="Q417" s="22">
        <x:v>0</x:v>
      </x:c>
      <x:c r="R417" s="22">
        <x:v>0</x:v>
      </x:c>
      <x:c r="S417" s="22">
        <x:v>0</x:v>
      </x:c>
      <x:c r="T417" s="22">
        <x:v>1</x:v>
      </x:c>
      <x:c r="U417" s="22">
        <x:v>1</x:v>
      </x:c>
      <x:c r="V417" s="22" t="n">
        <x:f>IFERROR((Q417+R417+S417+T417+U417)/D417,0)</x:f>
        <x:v>0.005555555555555556</x:v>
      </x:c>
      <x:c r="W417" s="22">
        <x:v>1</x:v>
      </x:c>
      <x:c r="X417" s="22">
        <x:v>6000</x:v>
      </x:c>
      <x:c r="Y417" s="22">
        <x:v>11</x:v>
      </x:c>
      <x:c r="Z417" s="22">
        <x:v>25</x:v>
      </x:c>
      <x:c r="AA417" s="22" t="n">
        <x:f>IFERROR((W417*X417)/Y417/Z417/D417,0)</x:f>
        <x:v>0.060606060606060615</x:v>
      </x:c>
      <x:c r="AB417" s="22">
        <x:v>0.98499999999999999</x:v>
      </x:c>
      <x:c r="AC417" s="22" t="n">
        <x:f>IFERROR((I417+P417+V417+AA417)/AB417,0)</x:f>
        <x:v>0.09097593026286555</x:v>
      </x:c>
    </x:row>
    <x:row r="418">
      <x:c r="A418" s="22" t="str">
        <x:v>PJ40</x:v>
      </x:c>
      <x:c r="B418" s="22" t="s">
        <x:v>580</x:v>
      </x:c>
      <x:c r="C418" s="22">
        <x:v>20</x:v>
      </x:c>
      <x:c r="D418" s="22" t="n">
        <x:f>IFERROR(60*60/C418,0)</x:f>
        <x:v>180</x:v>
      </x:c>
      <x:c r="E418" s="22">
        <x:v>8</x:v>
      </x:c>
      <x:c r="F418" s="22">
        <x:v>22</x:v>
      </x:c>
      <x:c r="G418" s="22">
        <x:v>300</x:v>
      </x:c>
      <x:c r="H418" s="22">
        <x:v>1200000</x:v>
      </x:c>
      <x:c r="I418" s="22" t="n">
        <x:f>IFERROR(H418/E418/F418/G418/D418,0)</x:f>
        <x:v>0.12626262626262627</x:v>
      </x:c>
      <x:c r="J418" s="22">
        <x:v>0.62777055000000004</x:v>
      </x:c>
      <x:c r="K418" s="22">
        <x:v>18</x:v>
      </x:c>
      <x:c r="L418" s="22" t="n">
        <x:f>IFERROR(J418*K418/D418,0)</x:f>
        <x:v>0.062777055</x:v>
      </x:c>
      <x:c r="M418" s="22">
        <x:v>3.7</x:v>
      </x:c>
      <x:c r="N418" s="22">
        <x:v>0</x:v>
      </x:c>
      <x:c r="O418" s="22" t="n">
        <x:f>IFERROR(N418*M418/D418,0)</x:f>
        <x:v>0</x:v>
      </x:c>
      <x:c r="P418" s="22" t="n">
        <x:f>O418+L418</x:f>
        <x:v>0.062777055</x:v>
      </x:c>
      <x:c r="Q418" s="22">
        <x:v>0</x:v>
      </x:c>
      <x:c r="R418" s="22">
        <x:v>0</x:v>
      </x:c>
      <x:c r="S418" s="22">
        <x:v>0</x:v>
      </x:c>
      <x:c r="T418" s="22">
        <x:v>1</x:v>
      </x:c>
      <x:c r="U418" s="22">
        <x:v>1</x:v>
      </x:c>
      <x:c r="V418" s="22" t="n">
        <x:f>IFERROR((Q418+R418+S418+T418+U418)/D418,0)</x:f>
        <x:v>0.011111111111111112</x:v>
      </x:c>
      <x:c r="W418" s="22">
        <x:v>1</x:v>
      </x:c>
      <x:c r="X418" s="22">
        <x:v>6000</x:v>
      </x:c>
      <x:c r="Y418" s="22">
        <x:v>11</x:v>
      </x:c>
      <x:c r="Z418" s="22">
        <x:v>25</x:v>
      </x:c>
      <x:c r="AA418" s="22" t="n">
        <x:f>IFERROR((W418*X418)/Y418/Z418/D418,0)</x:f>
        <x:v>0.12121212121212123</x:v>
      </x:c>
      <x:c r="AB418" s="22">
        <x:v>0.98</x:v>
      </x:c>
      <x:c r="AC418" s="22" t="n">
        <x:f>IFERROR((I418+P418+V418+AA418)/AB418,0)</x:f>
        <x:v>0.3279213403937333</x:v>
      </x:c>
    </x:row>
    <x:row r="419">
      <x:c r="A419" s="22"/>
      <x:c r="B419" s="22"/>
      <x:c r="C419" s="22"/>
      <x:c r="D419" s="22"/>
      <x:c r="E419" s="22"/>
      <x:c r="F419" s="22"/>
      <x:c r="G419" s="22"/>
      <x:c r="H419" s="22"/>
      <x:c r="I419" s="22"/>
      <x:c r="J419" s="22"/>
      <x:c r="K419" s="22"/>
      <x:c r="L419" s="22"/>
      <x:c r="M419" s="22"/>
      <x:c r="N419" s="22"/>
      <x:c r="O419" s="22"/>
      <x:c r="P419" s="22"/>
      <x:c r="Q419" s="22"/>
      <x:c r="R419" s="22"/>
      <x:c r="S419" s="22"/>
      <x:c r="T419" s="22"/>
      <x:c r="U419" s="22"/>
      <x:c r="V419" s="22"/>
      <x:c r="W419" s="22"/>
      <x:c r="X419" s="22"/>
      <x:c r="Y419" s="22"/>
      <x:c r="Z419" s="22"/>
      <x:c r="AA419" s="22"/>
      <x:c r="AB419" s="22"/>
      <x:c r="AC419" s="22"/>
    </x:row>
    <x:row r="420">
      <x:c r="A420" s="49" t="str">
        <x:v>模切/覆膜工艺</x:v>
      </x:c>
      <x:c r="B420" s="49"/>
      <x:c r="C420" s="49"/>
      <x:c r="D420" s="49"/>
      <x:c r="E420" s="49"/>
      <x:c r="F420" s="49"/>
      <x:c r="G420" s="49"/>
      <x:c r="H420" s="49"/>
      <x:c r="I420" s="49"/>
      <x:c r="J420" s="49"/>
      <x:c r="K420" s="49"/>
      <x:c r="L420" s="49"/>
      <x:c r="M420" s="49"/>
      <x:c r="N420" s="49"/>
      <x:c r="O420" s="49"/>
      <x:c r="P420" s="49"/>
      <x:c r="Q420" s="49"/>
      <x:c r="R420" s="49"/>
      <x:c r="S420" s="49"/>
      <x:c r="T420" s="49"/>
      <x:c r="U420" s="49"/>
      <x:c r="V420" s="49"/>
      <x:c r="W420" s="49"/>
      <x:c r="X420" s="49"/>
      <x:c r="Y420" s="49"/>
      <x:c r="Z420" s="49"/>
      <x:c r="AA420" s="49"/>
      <x:c r="AB420" s="49"/>
      <x:c r="AC420" s="49"/>
    </x:row>
    <x:row r="421">
      <x:c r="A421" s="22" t="str">
        <x:v>DCU10</x:v>
      </x:c>
      <x:c r="B421" s="22" t="s">
        <x:v>581</x:v>
      </x:c>
      <x:c r="C421" s="22">
        <x:v>2</x:v>
      </x:c>
      <x:c r="D421" s="22" t="n">
        <x:f>IFERROR(60*60/C421,0)</x:f>
        <x:v>1800</x:v>
      </x:c>
      <x:c r="E421" s="22">
        <x:v>8</x:v>
      </x:c>
      <x:c r="F421" s="22">
        <x:v>22</x:v>
      </x:c>
      <x:c r="G421" s="22">
        <x:v>300</x:v>
      </x:c>
      <x:c r="H421" s="22">
        <x:v>350000</x:v>
      </x:c>
      <x:c r="I421" s="22" t="n">
        <x:f>IFERROR(H421/E421/F421/G421/D421,0)</x:f>
        <x:v>0.003682659932659933</x:v>
      </x:c>
      <x:c r="J421" s="22">
        <x:v>0.62777055000000004</x:v>
      </x:c>
      <x:c r="K421" s="22">
        <x:v>4</x:v>
      </x:c>
      <x:c r="L421" s="22" t="n">
        <x:f>IFERROR(J421*K421/D421,0)</x:f>
        <x:v>0.0013950456666666667</x:v>
      </x:c>
      <x:c r="M421" s="22">
        <x:v>3.7</x:v>
      </x:c>
      <x:c r="N421" s="22">
        <x:v>0</x:v>
      </x:c>
      <x:c r="O421" s="22" t="n">
        <x:f>IFERROR(N421*M421/D421,0)</x:f>
        <x:v>0</x:v>
      </x:c>
      <x:c r="P421" s="22" t="n">
        <x:f>O421+L421</x:f>
        <x:v>0.0013950456666666667</x:v>
      </x:c>
      <x:c r="Q421" s="22">
        <x:v>0</x:v>
      </x:c>
      <x:c r="R421" s="22">
        <x:v>0</x:v>
      </x:c>
      <x:c r="S421" s="22">
        <x:v>0</x:v>
      </x:c>
      <x:c r="T421" s="22">
        <x:v>2</x:v>
      </x:c>
      <x:c r="U421" s="22">
        <x:v>1</x:v>
      </x:c>
      <x:c r="V421" s="22" t="n">
        <x:f>IFERROR((Q421+R421+S421+T421+U421)/D421,0)</x:f>
        <x:v>0.0016666666666666668</x:v>
      </x:c>
      <x:c r="W421" s="22">
        <x:v>1</x:v>
      </x:c>
      <x:c r="X421" s="22">
        <x:v>6000</x:v>
      </x:c>
      <x:c r="Y421" s="22">
        <x:v>11</x:v>
      </x:c>
      <x:c r="Z421" s="22">
        <x:v>25</x:v>
      </x:c>
      <x:c r="AA421" s="22" t="n">
        <x:f>IFERROR((W421*X421)/Y421/Z421/D421,0)</x:f>
        <x:v>0.012121212121212123</x:v>
      </x:c>
      <x:c r="AB421" s="22">
        <x:v>0.97</x:v>
      </x:c>
      <x:c r="AC421" s="22" t="n">
        <x:f>IFERROR((I421+P421+V421+AA421)/AB421,0)</x:f>
        <x:v>0.019449056069283908</x:v>
      </x:c>
    </x:row>
    <x:row r="422">
      <x:c r="A422" s="22" t="str">
        <x:v>DCU20</x:v>
      </x:c>
      <x:c r="B422" s="22" t="s">
        <x:v>582</x:v>
      </x:c>
      <x:c r="C422" s="22">
        <x:v>0.5</x:v>
      </x:c>
      <x:c r="D422" s="22" t="n">
        <x:f>IFERROR(60*60/C422,0)</x:f>
        <x:v>7200</x:v>
      </x:c>
      <x:c r="E422" s="22">
        <x:v>10</x:v>
      </x:c>
      <x:c r="F422" s="22">
        <x:v>22</x:v>
      </x:c>
      <x:c r="G422" s="22">
        <x:v>300</x:v>
      </x:c>
      <x:c r="H422" s="22">
        <x:v>1200000</x:v>
      </x:c>
      <x:c r="I422" s="22" t="n">
        <x:f>IFERROR(H422/E422/F422/G422/D422,0)</x:f>
        <x:v>0.0025252525252525255</x:v>
      </x:c>
      <x:c r="J422" s="22">
        <x:v>0.62777055000000004</x:v>
      </x:c>
      <x:c r="K422" s="22">
        <x:v>12</x:v>
      </x:c>
      <x:c r="L422" s="22" t="n">
        <x:f>IFERROR(J422*K422/D422,0)</x:f>
        <x:v>0.00104628425</x:v>
      </x:c>
      <x:c r="M422" s="22">
        <x:v>3.7</x:v>
      </x:c>
      <x:c r="N422" s="22">
        <x:v>0</x:v>
      </x:c>
      <x:c r="O422" s="22" t="n">
        <x:f>IFERROR(N422*M422/D422,0)</x:f>
        <x:v>0</x:v>
      </x:c>
      <x:c r="P422" s="22" t="n">
        <x:f>O422+L422</x:f>
        <x:v>0.00104628425</x:v>
      </x:c>
      <x:c r="Q422" s="22">
        <x:v>0</x:v>
      </x:c>
      <x:c r="R422" s="22">
        <x:v>0</x:v>
      </x:c>
      <x:c r="S422" s="22">
        <x:v>0</x:v>
      </x:c>
      <x:c r="T422" s="22">
        <x:v>3</x:v>
      </x:c>
      <x:c r="U422" s="22">
        <x:v>1</x:v>
      </x:c>
      <x:c r="V422" s="22" t="n">
        <x:f>IFERROR((Q422+R422+S422+T422+U422)/D422,0)</x:f>
        <x:v>0.0005555555555555556</x:v>
      </x:c>
      <x:c r="W422" s="22">
        <x:v>2</x:v>
      </x:c>
      <x:c r="X422" s="22">
        <x:v>6000</x:v>
      </x:c>
      <x:c r="Y422" s="22">
        <x:v>11</x:v>
      </x:c>
      <x:c r="Z422" s="22">
        <x:v>25</x:v>
      </x:c>
      <x:c r="AA422" s="22" t="n">
        <x:f>IFERROR((W422*X422)/Y422/Z422/D422,0)</x:f>
        <x:v>0.0060606060606060615</x:v>
      </x:c>
      <x:c r="AB422" s="22">
        <x:v>0.96</x:v>
      </x:c>
      <x:c r="AC422" s="22" t="n">
        <x:f>IFERROR((I422+P422+V422+AA422)/AB422,0)</x:f>
        <x:v>0.010612185824389732</x:v>
      </x:c>
    </x:row>
    <x:row r="423">
      <x:c r="A423" s="22" t="str">
        <x:v>DCU30</x:v>
      </x:c>
      <x:c r="B423" s="22" t="s">
        <x:v>583</x:v>
      </x:c>
      <x:c r="C423" s="22">
        <x:v>1.2</x:v>
      </x:c>
      <x:c r="D423" s="22" t="n">
        <x:f>IFERROR(60*60/C423,0)</x:f>
        <x:v>3000</x:v>
      </x:c>
      <x:c r="E423" s="22">
        <x:v>10</x:v>
      </x:c>
      <x:c r="F423" s="22">
        <x:v>22</x:v>
      </x:c>
      <x:c r="G423" s="22">
        <x:v>300</x:v>
      </x:c>
      <x:c r="H423" s="22">
        <x:v>850000</x:v>
      </x:c>
      <x:c r="I423" s="22" t="n">
        <x:f>IFERROR(H423/E423/F423/G423/D423,0)</x:f>
        <x:v>0.004292929292929293</x:v>
      </x:c>
      <x:c r="J423" s="22">
        <x:v>0.62777055000000004</x:v>
      </x:c>
      <x:c r="K423" s="22">
        <x:v>18</x:v>
      </x:c>
      <x:c r="L423" s="22" t="n">
        <x:f>IFERROR(J423*K423/D423,0)</x:f>
        <x:v>0.0037666233000000003</x:v>
      </x:c>
      <x:c r="M423" s="22">
        <x:v>3.7</x:v>
      </x:c>
      <x:c r="N423" s="22">
        <x:v>0</x:v>
      </x:c>
      <x:c r="O423" s="22" t="n">
        <x:f>IFERROR(N423*M423/D423,0)</x:f>
        <x:v>0</x:v>
      </x:c>
      <x:c r="P423" s="22" t="n">
        <x:f>O423+L423</x:f>
        <x:v>0.0037666233000000003</x:v>
      </x:c>
      <x:c r="Q423" s="22">
        <x:v>0</x:v>
      </x:c>
      <x:c r="R423" s="22">
        <x:v>0</x:v>
      </x:c>
      <x:c r="S423" s="22">
        <x:v>0</x:v>
      </x:c>
      <x:c r="T423" s="22">
        <x:v>0</x:v>
      </x:c>
      <x:c r="U423" s="22">
        <x:v>2</x:v>
      </x:c>
      <x:c r="V423" s="22" t="n">
        <x:f>IFERROR((Q423+R423+S423+T423+U423)/D423,0)</x:f>
        <x:v>0.0006666666666666666</x:v>
      </x:c>
      <x:c r="W423" s="22">
        <x:v>2</x:v>
      </x:c>
      <x:c r="X423" s="22">
        <x:v>6000</x:v>
      </x:c>
      <x:c r="Y423" s="22">
        <x:v>11</x:v>
      </x:c>
      <x:c r="Z423" s="22">
        <x:v>25</x:v>
      </x:c>
      <x:c r="AA423" s="22" t="n">
        <x:f>IFERROR((W423*X423)/Y423/Z423/D423,0)</x:f>
        <x:v>0.014545454545454547</x:v>
      </x:c>
      <x:c r="AB423" s="22">
        <x:v>0.97</x:v>
      </x:c>
      <x:c r="AC423" s="22" t="n">
        <x:f>IFERROR((I423+P423+V423+AA423)/AB423,0)</x:f>
        <x:v>0.023991416293866502</x:v>
      </x:c>
    </x:row>
    <x:row r="424">
      <x:c r="A424" s="22" t="str">
        <x:v>DCU40</x:v>
      </x:c>
      <x:c r="B424" s="22" t="s">
        <x:v>584</x:v>
      </x:c>
      <x:c r="C424" s="22">
        <x:v>1</x:v>
      </x:c>
      <x:c r="D424" s="22" t="n">
        <x:f>IFERROR(60*60/C424,0)</x:f>
        <x:v>3600</x:v>
      </x:c>
      <x:c r="E424" s="22">
        <x:v>8</x:v>
      </x:c>
      <x:c r="F424" s="22">
        <x:v>22</x:v>
      </x:c>
      <x:c r="G424" s="22">
        <x:v>300</x:v>
      </x:c>
      <x:c r="H424" s="22">
        <x:v>450000</x:v>
      </x:c>
      <x:c r="I424" s="22" t="n">
        <x:f>IFERROR(H424/E424/F424/G424/D424,0)</x:f>
        <x:v>0.0023674242424242425</x:v>
      </x:c>
      <x:c r="J424" s="22">
        <x:v>0.62777055000000004</x:v>
      </x:c>
      <x:c r="K424" s="22">
        <x:v>8</x:v>
      </x:c>
      <x:c r="L424" s="22" t="n">
        <x:f>IFERROR(J424*K424/D424,0)</x:f>
        <x:v>0.0013950456666666667</x:v>
      </x:c>
      <x:c r="M424" s="22">
        <x:v>3.7</x:v>
      </x:c>
      <x:c r="N424" s="22">
        <x:v>0</x:v>
      </x:c>
      <x:c r="O424" s="22" t="n">
        <x:f>IFERROR(N424*M424/D424,0)</x:f>
        <x:v>0</x:v>
      </x:c>
      <x:c r="P424" s="22" t="n">
        <x:f>O424+L424</x:f>
        <x:v>0.0013950456666666667</x:v>
      </x:c>
      <x:c r="Q424" s="22">
        <x:v>0</x:v>
      </x:c>
      <x:c r="R424" s="22">
        <x:v>0</x:v>
      </x:c>
      <x:c r="S424" s="22">
        <x:v>0</x:v>
      </x:c>
      <x:c r="T424" s="22">
        <x:v>1</x:v>
      </x:c>
      <x:c r="U424" s="22">
        <x:v>1</x:v>
      </x:c>
      <x:c r="V424" s="22" t="n">
        <x:f>IFERROR((Q424+R424+S424+T424+U424)/D424,0)</x:f>
        <x:v>0.0005555555555555556</x:v>
      </x:c>
      <x:c r="W424" s="22">
        <x:v>1</x:v>
      </x:c>
      <x:c r="X424" s="22">
        <x:v>6000</x:v>
      </x:c>
      <x:c r="Y424" s="22">
        <x:v>11</x:v>
      </x:c>
      <x:c r="Z424" s="22">
        <x:v>25</x:v>
      </x:c>
      <x:c r="AA424" s="22" t="n">
        <x:f>IFERROR((W424*X424)/Y424/Z424/D424,0)</x:f>
        <x:v>0.0060606060606060615</x:v>
      </x:c>
      <x:c r="AB424" s="22">
        <x:v>0.98</x:v>
      </x:c>
      <x:c r="AC424" s="22" t="n">
        <x:f>IFERROR((I424+P424+V424+AA424)/AB424,0)</x:f>
        <x:v>0.010590440331890333</x:v>
      </x:c>
    </x:row>
    <x:row r="425">
      <x:c r="A425" s="22"/>
      <x:c r="B425" s="22"/>
      <x:c r="C425" s="22"/>
      <x:c r="D425" s="22"/>
      <x:c r="E425" s="22"/>
      <x:c r="F425" s="22"/>
      <x:c r="G425" s="22"/>
      <x:c r="H425" s="22"/>
      <x:c r="I425" s="22"/>
      <x:c r="J425" s="22"/>
      <x:c r="K425" s="22"/>
      <x:c r="L425" s="22"/>
      <x:c r="M425" s="22"/>
      <x:c r="N425" s="22"/>
      <x:c r="O425" s="22"/>
      <x:c r="P425" s="22"/>
      <x:c r="Q425" s="22"/>
      <x:c r="R425" s="22"/>
      <x:c r="S425" s="22"/>
      <x:c r="T425" s="22"/>
      <x:c r="U425" s="22"/>
      <x:c r="V425" s="22"/>
      <x:c r="W425" s="22"/>
      <x:c r="X425" s="22"/>
      <x:c r="Y425" s="22"/>
      <x:c r="Z425" s="22"/>
      <x:c r="AA425" s="22"/>
      <x:c r="AB425" s="22"/>
      <x:c r="AC425" s="22"/>
    </x:row>
    <x:row r="426">
      <x:c r="A426" s="49" t="str">
        <x:v>钎焊/软钎焊工艺</x:v>
      </x:c>
      <x:c r="B426" s="49"/>
      <x:c r="C426" s="49"/>
      <x:c r="D426" s="49"/>
      <x:c r="E426" s="49"/>
      <x:c r="F426" s="49"/>
      <x:c r="G426" s="49"/>
      <x:c r="H426" s="49"/>
      <x:c r="I426" s="49"/>
      <x:c r="J426" s="49"/>
      <x:c r="K426" s="49"/>
      <x:c r="L426" s="49"/>
      <x:c r="M426" s="49"/>
      <x:c r="N426" s="49"/>
      <x:c r="O426" s="49"/>
      <x:c r="P426" s="49"/>
      <x:c r="Q426" s="49"/>
      <x:c r="R426" s="49"/>
      <x:c r="S426" s="49"/>
      <x:c r="T426" s="49"/>
      <x:c r="U426" s="49"/>
      <x:c r="V426" s="49"/>
      <x:c r="W426" s="49"/>
      <x:c r="X426" s="49"/>
      <x:c r="Y426" s="49"/>
      <x:c r="Z426" s="49"/>
      <x:c r="AA426" s="49"/>
      <x:c r="AB426" s="49"/>
      <x:c r="AC426" s="49"/>
    </x:row>
    <x:row r="427">
      <x:c r="A427" s="22" t="str">
        <x:v>BR10</x:v>
      </x:c>
      <x:c r="B427" s="22" t="s">
        <x:v>585</x:v>
      </x:c>
      <x:c r="C427" s="22">
        <x:v>18</x:v>
      </x:c>
      <x:c r="D427" s="22" t="n">
        <x:f>IFERROR(60*60/C427,0)</x:f>
        <x:v>200</x:v>
      </x:c>
      <x:c r="E427" s="22">
        <x:v>8</x:v>
      </x:c>
      <x:c r="F427" s="22">
        <x:v>22</x:v>
      </x:c>
      <x:c r="G427" s="22">
        <x:v>300</x:v>
      </x:c>
      <x:c r="H427" s="22">
        <x:v>650000</x:v>
      </x:c>
      <x:c r="I427" s="22" t="n">
        <x:f>IFERROR(H427/E427/F427/G427/D427,0)</x:f>
        <x:v>0.061553030303030304</x:v>
      </x:c>
      <x:c r="J427" s="22">
        <x:v>0.62777055000000004</x:v>
      </x:c>
      <x:c r="K427" s="22">
        <x:v>35</x:v>
      </x:c>
      <x:c r="L427" s="22" t="n">
        <x:f>IFERROR(J427*K427/D427,0)</x:f>
        <x:v>0.10985984625</x:v>
      </x:c>
      <x:c r="M427" s="22">
        <x:v>3.7</x:v>
      </x:c>
      <x:c r="N427" s="22">
        <x:v>2</x:v>
      </x:c>
      <x:c r="O427" s="22" t="n">
        <x:f>IFERROR(N427*M427/D427,0)</x:f>
        <x:v>0.037000000000000005</x:v>
      </x:c>
      <x:c r="P427" s="22" t="n">
        <x:f>O427+L427</x:f>
        <x:v>0.14685984625</x:v>
      </x:c>
      <x:c r="Q427" s="22">
        <x:v>0</x:v>
      </x:c>
      <x:c r="R427" s="22">
        <x:v>0</x:v>
      </x:c>
      <x:c r="S427" s="22">
        <x:v>2</x:v>
      </x:c>
      <x:c r="T427" s="22">
        <x:v>0</x:v>
      </x:c>
      <x:c r="U427" s="22">
        <x:v>2</x:v>
      </x:c>
      <x:c r="V427" s="22" t="n">
        <x:f>IFERROR((Q427+R427+S427+T427+U427)/D427,0)</x:f>
        <x:v>0.02</x:v>
      </x:c>
      <x:c r="W427" s="22">
        <x:v>2</x:v>
      </x:c>
      <x:c r="X427" s="22">
        <x:v>6000</x:v>
      </x:c>
      <x:c r="Y427" s="22">
        <x:v>11</x:v>
      </x:c>
      <x:c r="Z427" s="22">
        <x:v>25</x:v>
      </x:c>
      <x:c r="AA427" s="22" t="n">
        <x:f>IFERROR((W427*X427)/Y427/Z427/D427,0)</x:f>
        <x:v>0.2181818181818182</x:v>
      </x:c>
      <x:c r="AB427" s="22">
        <x:v>0.97</x:v>
      </x:c>
      <x:c r="AC427" s="22" t="n">
        <x:f>IFERROR((I427+P427+V427+AA427)/AB427,0)</x:f>
        <x:v>0.4604069017885036</x:v>
      </x:c>
    </x:row>
    <x:row r="428">
      <x:c r="A428" s="22" t="str">
        <x:v>BR20</x:v>
      </x:c>
      <x:c r="B428" s="22" t="s">
        <x:v>586</x:v>
      </x:c>
      <x:c r="C428" s="22">
        <x:v>8</x:v>
      </x:c>
      <x:c r="D428" s="22" t="n">
        <x:f>IFERROR(60*60/C428,0)</x:f>
        <x:v>450</x:v>
      </x:c>
      <x:c r="E428" s="22">
        <x:v>12</x:v>
      </x:c>
      <x:c r="F428" s="22">
        <x:v>22</x:v>
      </x:c>
      <x:c r="G428" s="22">
        <x:v>300</x:v>
      </x:c>
      <x:c r="H428" s="22">
        <x:v>3500000</x:v>
      </x:c>
      <x:c r="I428" s="22" t="n">
        <x:f>IFERROR(H428/E428/F428/G428/D428,0)</x:f>
        <x:v>0.09820426487093153</x:v>
      </x:c>
      <x:c r="J428" s="22">
        <x:v>0.62777055000000004</x:v>
      </x:c>
      <x:c r="K428" s="22">
        <x:v>160</x:v>
      </x:c>
      <x:c r="L428" s="22" t="n">
        <x:f>IFERROR(J428*K428/D428,0)</x:f>
        <x:v>0.2232073066666667</x:v>
      </x:c>
      <x:c r="M428" s="22">
        <x:v>3.7</x:v>
      </x:c>
      <x:c r="N428" s="22">
        <x:v>15</x:v>
      </x:c>
      <x:c r="O428" s="22" t="n">
        <x:f>IFERROR(N428*M428/D428,0)</x:f>
        <x:v>0.12333333333333334</x:v>
      </x:c>
      <x:c r="P428" s="22" t="n">
        <x:f>O428+L428</x:f>
        <x:v>0.34654064</x:v>
      </x:c>
      <x:c r="Q428" s="22">
        <x:v>0</x:v>
      </x:c>
      <x:c r="R428" s="22">
        <x:v>0</x:v>
      </x:c>
      <x:c r="S428" s="22">
        <x:v>4</x:v>
      </x:c>
      <x:c r="T428" s="22">
        <x:v>0</x:v>
      </x:c>
      <x:c r="U428" s="22">
        <x:v>2</x:v>
      </x:c>
      <x:c r="V428" s="22" t="n">
        <x:f>IFERROR((Q428+R428+S428+T428+U428)/D428,0)</x:f>
        <x:v>0.013333333333333334</x:v>
      </x:c>
      <x:c r="W428" s="22">
        <x:v>4</x:v>
      </x:c>
      <x:c r="X428" s="22">
        <x:v>6000</x:v>
      </x:c>
      <x:c r="Y428" s="22">
        <x:v>11</x:v>
      </x:c>
      <x:c r="Z428" s="22">
        <x:v>25</x:v>
      </x:c>
      <x:c r="AA428" s="22" t="n">
        <x:f>IFERROR((W428*X428)/Y428/Z428/D428,0)</x:f>
        <x:v>0.19393939393939397</x:v>
      </x:c>
      <x:c r="AB428" s="22">
        <x:v>0.96</x:v>
      </x:c>
      <x:c r="AC428" s="22" t="n">
        <x:f>IFERROR((I428+P428+V428+AA428)/AB428,0)</x:f>
        <x:v>0.679185033482978</x:v>
      </x:c>
    </x:row>
    <x:row r="429">
      <x:c r="A429" s="22" t="str">
        <x:v>BR30</x:v>
      </x:c>
      <x:c r="B429" s="22" t="s">
        <x:v>587</x:v>
      </x:c>
      <x:c r="C429" s="22">
        <x:v>30</x:v>
      </x:c>
      <x:c r="D429" s="22" t="n">
        <x:f>IFERROR(60*60/C429,0)</x:f>
        <x:v>120</x:v>
      </x:c>
      <x:c r="E429" s="22">
        <x:v>8</x:v>
      </x:c>
      <x:c r="F429" s="22">
        <x:v>22</x:v>
      </x:c>
      <x:c r="G429" s="22">
        <x:v>300</x:v>
      </x:c>
      <x:c r="H429" s="22">
        <x:v>180000</x:v>
      </x:c>
      <x:c r="I429" s="22" t="n">
        <x:f>IFERROR(H429/E429/F429/G429/D429,0)</x:f>
        <x:v>0.028409090909090908</x:v>
      </x:c>
      <x:c r="J429" s="22">
        <x:v>0.62777055000000004</x:v>
      </x:c>
      <x:c r="K429" s="22">
        <x:v>3</x:v>
      </x:c>
      <x:c r="L429" s="22" t="n">
        <x:f>IFERROR(J429*K429/D429,0)</x:f>
        <x:v>0.01569426375</x:v>
      </x:c>
      <x:c r="M429" s="22">
        <x:v>3.7</x:v>
      </x:c>
      <x:c r="N429" s="22">
        <x:v>4</x:v>
      </x:c>
      <x:c r="O429" s="22" t="n">
        <x:f>IFERROR(N429*M429/D429,0)</x:f>
        <x:v>0.12333333333333334</x:v>
      </x:c>
      <x:c r="P429" s="22" t="n">
        <x:f>O429+L429</x:f>
        <x:v>0.13902759708333334</x:v>
      </x:c>
      <x:c r="Q429" s="22">
        <x:v>0</x:v>
      </x:c>
      <x:c r="R429" s="22">
        <x:v>0</x:v>
      </x:c>
      <x:c r="S429" s="22">
        <x:v>0</x:v>
      </x:c>
      <x:c r="T429" s="22">
        <x:v>0</x:v>
      </x:c>
      <x:c r="U429" s="22">
        <x:v>2</x:v>
      </x:c>
      <x:c r="V429" s="22" t="n">
        <x:f>IFERROR((Q429+R429+S429+T429+U429)/D429,0)</x:f>
        <x:v>0.016666666666666666</x:v>
      </x:c>
      <x:c r="W429" s="22">
        <x:v>2</x:v>
      </x:c>
      <x:c r="X429" s="22">
        <x:v>6000</x:v>
      </x:c>
      <x:c r="Y429" s="22">
        <x:v>11</x:v>
      </x:c>
      <x:c r="Z429" s="22">
        <x:v>25</x:v>
      </x:c>
      <x:c r="AA429" s="22" t="n">
        <x:f>IFERROR((W429*X429)/Y429/Z429/D429,0)</x:f>
        <x:v>0.36363636363636365</x:v>
      </x:c>
      <x:c r="AB429" s="22">
        <x:v>0.96</x:v>
      </x:c>
      <x:c r="AC429" s="22" t="n">
        <x:f>IFERROR((I429+P429+V429+AA429)/AB429,0)</x:f>
        <x:v>0.5705622065577651</x:v>
      </x:c>
    </x:row>
    <x:row r="430">
      <x:c r="A430" s="22" t="str">
        <x:v>BR40</x:v>
      </x:c>
      <x:c r="B430" s="22" t="s">
        <x:v>588</x:v>
      </x:c>
      <x:c r="C430" s="22">
        <x:v>8</x:v>
      </x:c>
      <x:c r="D430" s="22" t="n">
        <x:f>IFERROR(60*60/C430,0)</x:f>
        <x:v>450</x:v>
      </x:c>
      <x:c r="E430" s="22">
        <x:v>8</x:v>
      </x:c>
      <x:c r="F430" s="22">
        <x:v>22</x:v>
      </x:c>
      <x:c r="G430" s="22">
        <x:v>300</x:v>
      </x:c>
      <x:c r="H430" s="22">
        <x:v>450000</x:v>
      </x:c>
      <x:c r="I430" s="22" t="n">
        <x:f>IFERROR(H430/E430/F430/G430/D430,0)</x:f>
        <x:v>0.01893939393939394</x:v>
      </x:c>
      <x:c r="J430" s="22">
        <x:v>0.62777055000000004</x:v>
      </x:c>
      <x:c r="K430" s="22">
        <x:v>4</x:v>
      </x:c>
      <x:c r="L430" s="22" t="n">
        <x:f>IFERROR(J430*K430/D430,0)</x:f>
        <x:v>0.005580182666666667</x:v>
      </x:c>
      <x:c r="M430" s="22">
        <x:v>3.7</x:v>
      </x:c>
      <x:c r="N430" s="22">
        <x:v>0</x:v>
      </x:c>
      <x:c r="O430" s="22" t="n">
        <x:f>IFERROR(N430*M430/D430,0)</x:f>
        <x:v>0</x:v>
      </x:c>
      <x:c r="P430" s="22" t="n">
        <x:f>O430+L430</x:f>
        <x:v>0.005580182666666667</x:v>
      </x:c>
      <x:c r="Q430" s="22">
        <x:v>0</x:v>
      </x:c>
      <x:c r="R430" s="22">
        <x:v>0</x:v>
      </x:c>
      <x:c r="S430" s="22">
        <x:v>0</x:v>
      </x:c>
      <x:c r="T430" s="22">
        <x:v>0</x:v>
      </x:c>
      <x:c r="U430" s="22">
        <x:v>2</x:v>
      </x:c>
      <x:c r="V430" s="22" t="n">
        <x:f>IFERROR((Q430+R430+S430+T430+U430)/D430,0)</x:f>
        <x:v>0.0044444444444444444</x:v>
      </x:c>
      <x:c r="W430" s="22">
        <x:v>1</x:v>
      </x:c>
      <x:c r="X430" s="22">
        <x:v>6000</x:v>
      </x:c>
      <x:c r="Y430" s="22">
        <x:v>11</x:v>
      </x:c>
      <x:c r="Z430" s="22">
        <x:v>25</x:v>
      </x:c>
      <x:c r="AA430" s="22" t="n">
        <x:f>IFERROR((W430*X430)/Y430/Z430/D430,0)</x:f>
        <x:v>0.04848484848484849</x:v>
      </x:c>
      <x:c r="AB430" s="22">
        <x:v>0.98</x:v>
      </x:c>
      <x:c r="AC430" s="22" t="n">
        <x:f>IFERROR((I430+P430+V430+AA430)/AB430,0)</x:f>
        <x:v>0.07902945870954443</x:v>
      </x:c>
    </x:row>
    <x:row r="431">
      <x:c r="A431" s="22"/>
      <x:c r="B431" s="22"/>
      <x:c r="C431" s="22"/>
      <x:c r="D431" s="22"/>
      <x:c r="E431" s="22"/>
      <x:c r="F431" s="22"/>
      <x:c r="G431" s="22"/>
      <x:c r="H431" s="22"/>
      <x:c r="I431" s="22"/>
      <x:c r="J431" s="22"/>
      <x:c r="K431" s="22"/>
      <x:c r="L431" s="22"/>
      <x:c r="M431" s="22"/>
      <x:c r="N431" s="22"/>
      <x:c r="O431" s="22"/>
      <x:c r="P431" s="22"/>
      <x:c r="Q431" s="22"/>
      <x:c r="R431" s="22"/>
      <x:c r="S431" s="22"/>
      <x:c r="T431" s="22"/>
      <x:c r="U431" s="22"/>
      <x:c r="V431" s="22"/>
      <x:c r="W431" s="22"/>
      <x:c r="X431" s="22"/>
      <x:c r="Y431" s="22"/>
      <x:c r="Z431" s="22"/>
      <x:c r="AA431" s="22"/>
      <x:c r="AB431" s="22"/>
      <x:c r="AC431" s="22"/>
    </x:row>
    <x:row r="432">
      <x:c r="A432" s="49" t="str">
        <x:v>内饰软包/表皮工艺</x:v>
      </x:c>
      <x:c r="B432" s="49"/>
      <x:c r="C432" s="49"/>
      <x:c r="D432" s="49"/>
      <x:c r="E432" s="49"/>
      <x:c r="F432" s="49"/>
      <x:c r="G432" s="49"/>
      <x:c r="H432" s="49"/>
      <x:c r="I432" s="49"/>
      <x:c r="J432" s="49"/>
      <x:c r="K432" s="49"/>
      <x:c r="L432" s="49"/>
      <x:c r="M432" s="49"/>
      <x:c r="N432" s="49"/>
      <x:c r="O432" s="49"/>
      <x:c r="P432" s="49"/>
      <x:c r="Q432" s="49"/>
      <x:c r="R432" s="49"/>
      <x:c r="S432" s="49"/>
      <x:c r="T432" s="49"/>
      <x:c r="U432" s="49"/>
      <x:c r="V432" s="49"/>
      <x:c r="W432" s="49"/>
      <x:c r="X432" s="49"/>
      <x:c r="Y432" s="49"/>
      <x:c r="Z432" s="49"/>
      <x:c r="AA432" s="49"/>
      <x:c r="AB432" s="49"/>
      <x:c r="AC432" s="49"/>
    </x:row>
    <x:row r="433">
      <x:c r="A433" s="22" t="str">
        <x:v>IN10</x:v>
      </x:c>
      <x:c r="B433" s="22" t="s">
        <x:v>589</x:v>
      </x:c>
      <x:c r="C433" s="22">
        <x:v>20</x:v>
      </x:c>
      <x:c r="D433" s="22" t="n">
        <x:f t="shared" ref="D433:D438" si="136">IFERROR(60*60/C433,0)</x:f>
        <x:v>180</x:v>
      </x:c>
      <x:c r="E433" s="22">
        <x:v>8</x:v>
      </x:c>
      <x:c r="F433" s="22">
        <x:v>22</x:v>
      </x:c>
      <x:c r="G433" s="22">
        <x:v>300</x:v>
      </x:c>
      <x:c r="H433" s="22">
        <x:v>650000</x:v>
      </x:c>
      <x:c r="I433" s="22" t="n">
        <x:f t="shared" ref="I433:I438" si="137">IFERROR(H433/E433/F433/G433/D433,0)</x:f>
        <x:v>0.0683922558922559</x:v>
      </x:c>
      <x:c r="J433" s="22">
        <x:v>0.62777055000000004</x:v>
      </x:c>
      <x:c r="K433" s="22">
        <x:v>8</x:v>
      </x:c>
      <x:c r="L433" s="22" t="n">
        <x:f t="shared" ref="L433:L438" si="138">IFERROR(J433*K433/D433,0)</x:f>
        <x:v>0.027900913333333336</x:v>
      </x:c>
      <x:c r="M433" s="22">
        <x:v>3.7</x:v>
      </x:c>
      <x:c r="N433" s="22">
        <x:v>0</x:v>
      </x:c>
      <x:c r="O433" s="22" t="n">
        <x:f t="shared" ref="O433:O438" si="139">IFERROR(N433*M433/D433,0)</x:f>
        <x:v>0</x:v>
      </x:c>
      <x:c r="P433" s="22" t="n">
        <x:f t="shared" ref="P433:P438" si="140">O433+L433</x:f>
        <x:v>0.027900913333333336</x:v>
      </x:c>
      <x:c r="Q433" s="22">
        <x:v>0</x:v>
      </x:c>
      <x:c r="R433" s="22">
        <x:v>0</x:v>
      </x:c>
      <x:c r="S433" s="22">
        <x:v>0</x:v>
      </x:c>
      <x:c r="T433" s="22">
        <x:v>2</x:v>
      </x:c>
      <x:c r="U433" s="22">
        <x:v>1</x:v>
      </x:c>
      <x:c r="V433" s="22" t="n">
        <x:f t="shared" ref="V433:V438" si="141">IFERROR((Q433+R433+S433+T433+U433)/D433,0)</x:f>
        <x:v>0.016666666666666666</x:v>
      </x:c>
      <x:c r="W433" s="22">
        <x:v>1</x:v>
      </x:c>
      <x:c r="X433" s="22">
        <x:v>6000</x:v>
      </x:c>
      <x:c r="Y433" s="22">
        <x:v>11</x:v>
      </x:c>
      <x:c r="Z433" s="22">
        <x:v>25</x:v>
      </x:c>
      <x:c r="AA433" s="22" t="n">
        <x:f t="shared" ref="AA433:AA438" si="142">IFERROR((W433*X433)/Y433/Z433/D433,0)</x:f>
        <x:v>0.12121212121212123</x:v>
      </x:c>
      <x:c r="AB433" s="22">
        <x:v>0.97</x:v>
      </x:c>
      <x:c r="AC433" s="22" t="n">
        <x:f t="shared" ref="AC433:AC438" si="143">IFERROR((I433+P433+V433+AA433)/AB433,0)</x:f>
        <x:v>0.2414143887673991</x:v>
      </x:c>
    </x:row>
    <x:row r="434">
      <x:c r="A434" s="22" t="str">
        <x:v>IN20</x:v>
      </x:c>
      <x:c r="B434" s="22" t="s">
        <x:v>590</x:v>
      </x:c>
      <x:c r="C434" s="22">
        <x:v>35</x:v>
      </x:c>
      <x:c r="D434" s="22">
        <x:f t="shared" si="136"/>
        <x:v>102.85714285714286</x:v>
      </x:c>
      <x:c r="E434" s="22">
        <x:v>8</x:v>
      </x:c>
      <x:c r="F434" s="22">
        <x:v>22</x:v>
      </x:c>
      <x:c r="G434" s="22">
        <x:v>300</x:v>
      </x:c>
      <x:c r="H434" s="22">
        <x:v>180000</x:v>
      </x:c>
      <x:c r="I434" s="22">
        <x:f t="shared" si="137"/>
        <x:v>3.3143939393939392E-2</x:v>
      </x:c>
      <x:c r="J434" s="22">
        <x:v>0.62777055000000004</x:v>
      </x:c>
      <x:c r="K434" s="22">
        <x:v>1</x:v>
      </x:c>
      <x:c r="L434" s="22">
        <x:f t="shared" si="138"/>
        <x:v>6.1033247916666665E-3</x:v>
      </x:c>
      <x:c r="M434" s="22">
        <x:v>3.7</x:v>
      </x:c>
      <x:c r="N434" s="22">
        <x:v>0</x:v>
      </x:c>
      <x:c r="O434" s="22">
        <x:f t="shared" si="139"/>
        <x:v>0</x:v>
      </x:c>
      <x:c r="P434" s="22">
        <x:f t="shared" si="140"/>
        <x:v>6.1033247916666665E-3</x:v>
      </x:c>
      <x:c r="Q434" s="22">
        <x:v>0</x:v>
      </x:c>
      <x:c r="R434" s="22">
        <x:v>0</x:v>
      </x:c>
      <x:c r="S434" s="22">
        <x:v>0</x:v>
      </x:c>
      <x:c r="T434" s="22">
        <x:v>1</x:v>
      </x:c>
      <x:c r="U434" s="22">
        <x:v>1</x:v>
      </x:c>
      <x:c r="V434" s="22">
        <x:f t="shared" si="141"/>
        <x:v>1.9444444444444445E-2</x:v>
      </x:c>
      <x:c r="W434" s="22">
        <x:v>1</x:v>
      </x:c>
      <x:c r="X434" s="22">
        <x:v>6000</x:v>
      </x:c>
      <x:c r="Y434" s="22">
        <x:v>11</x:v>
      </x:c>
      <x:c r="Z434" s="22">
        <x:v>25</x:v>
      </x:c>
      <x:c r="AA434" s="22">
        <x:f t="shared" si="142"/>
        <x:v>0.21212121212121213</x:v>
      </x:c>
      <x:c r="AB434" s="22">
        <x:v>0.96</x:v>
      </x:c>
      <x:c r="AC434" s="22">
        <x:f t="shared" si="143"/>
        <x:v>0.28209679244923191</x:v>
      </x:c>
    </x:row>
    <x:row r="435">
      <x:c r="A435" s="22" t="str">
        <x:v>IN30</x:v>
      </x:c>
      <x:c r="B435" s="22" t="s">
        <x:v>591</x:v>
      </x:c>
      <x:c r="C435" s="22">
        <x:v>60</x:v>
      </x:c>
      <x:c r="D435" s="22">
        <x:f t="shared" si="136"/>
        <x:v>60</x:v>
      </x:c>
      <x:c r="E435" s="22">
        <x:v>10</x:v>
      </x:c>
      <x:c r="F435" s="22">
        <x:v>22</x:v>
      </x:c>
      <x:c r="G435" s="22">
        <x:v>300</x:v>
      </x:c>
      <x:c r="H435" s="22">
        <x:v>1200000</x:v>
      </x:c>
      <x:c r="I435" s="22">
        <x:f t="shared" si="137"/>
        <x:v>0.30303030303030304</x:v>
      </x:c>
      <x:c r="J435" s="22">
        <x:v>0.62777055000000004</x:v>
      </x:c>
      <x:c r="K435" s="22">
        <x:v>30</x:v>
      </x:c>
      <x:c r="L435" s="22">
        <x:f t="shared" si="138"/>
        <x:v>0.31388527500000002</x:v>
      </x:c>
      <x:c r="M435" s="22">
        <x:v>3.7</x:v>
      </x:c>
      <x:c r="N435" s="22">
        <x:v>0</x:v>
      </x:c>
      <x:c r="O435" s="22">
        <x:f t="shared" si="139"/>
        <x:v>0</x:v>
      </x:c>
      <x:c r="P435" s="22">
        <x:f t="shared" si="140"/>
        <x:v>0.31388527500000002</x:v>
      </x:c>
      <x:c r="Q435" s="22">
        <x:v>0</x:v>
      </x:c>
      <x:c r="R435" s="22">
        <x:v>0</x:v>
      </x:c>
      <x:c r="S435" s="22">
        <x:v>1</x:v>
      </x:c>
      <x:c r="T435" s="22">
        <x:v>0</x:v>
      </x:c>
      <x:c r="U435" s="22">
        <x:v>2</x:v>
      </x:c>
      <x:c r="V435" s="22">
        <x:f t="shared" si="141"/>
        <x:v>0.05</x:v>
      </x:c>
      <x:c r="W435" s="22">
        <x:v>3</x:v>
      </x:c>
      <x:c r="X435" s="22">
        <x:v>6000</x:v>
      </x:c>
      <x:c r="Y435" s="22">
        <x:v>11</x:v>
      </x:c>
      <x:c r="Z435" s="22">
        <x:v>25</x:v>
      </x:c>
      <x:c r="AA435" s="22">
        <x:f t="shared" si="142"/>
        <x:v>1.0909090909090908</x:v>
      </x:c>
      <x:c r="AB435" s="22">
        <x:v>0.94</x:v>
      </x:c>
      <x:c r="AC435" s="22">
        <x:f t="shared" si="143"/>
        <x:v>1.8700262435525468</x:v>
      </x:c>
    </x:row>
    <x:row r="436">
      <x:c r="A436" s="22" t="str">
        <x:v>IN40</x:v>
      </x:c>
      <x:c r="B436" s="22" t="s">
        <x:v>592</x:v>
      </x:c>
      <x:c r="C436" s="22">
        <x:v>90</x:v>
      </x:c>
      <x:c r="D436" s="22">
        <x:f t="shared" si="136"/>
        <x:v>40</x:v>
      </x:c>
      <x:c r="E436" s="22">
        <x:v>12</x:v>
      </x:c>
      <x:c r="F436" s="22">
        <x:v>22</x:v>
      </x:c>
      <x:c r="G436" s="22">
        <x:v>300</x:v>
      </x:c>
      <x:c r="H436" s="22">
        <x:v>3800000</x:v>
      </x:c>
      <x:c r="I436" s="22">
        <x:f t="shared" si="137"/>
        <x:v>1.1994949494949494</x:v>
      </x:c>
      <x:c r="J436" s="22">
        <x:v>0.62777055000000004</x:v>
      </x:c>
      <x:c r="K436" s="22">
        <x:v>100</x:v>
      </x:c>
      <x:c r="L436" s="22">
        <x:f t="shared" si="138"/>
        <x:v>1.5694263750000002</x:v>
      </x:c>
      <x:c r="M436" s="22">
        <x:v>3.7</x:v>
      </x:c>
      <x:c r="N436" s="22">
        <x:v>8</x:v>
      </x:c>
      <x:c r="O436" s="22">
        <x:f t="shared" si="139"/>
        <x:v>0.74</x:v>
      </x:c>
      <x:c r="P436" s="22">
        <x:f t="shared" si="140"/>
        <x:v>2.3094263750000001</x:v>
      </x:c>
      <x:c r="Q436" s="22">
        <x:v>0</x:v>
      </x:c>
      <x:c r="R436" s="22">
        <x:v>0</x:v>
      </x:c>
      <x:c r="S436" s="22">
        <x:v>3</x:v>
      </x:c>
      <x:c r="T436" s="22">
        <x:v>0</x:v>
      </x:c>
      <x:c r="U436" s="22">
        <x:v>3</x:v>
      </x:c>
      <x:c r="V436" s="22">
        <x:f t="shared" si="141"/>
        <x:v>0.15</x:v>
      </x:c>
      <x:c r="W436" s="22">
        <x:v>4</x:v>
      </x:c>
      <x:c r="X436" s="22">
        <x:v>6000</x:v>
      </x:c>
      <x:c r="Y436" s="22">
        <x:v>11</x:v>
      </x:c>
      <x:c r="Z436" s="22">
        <x:v>25</x:v>
      </x:c>
      <x:c r="AA436" s="22">
        <x:f t="shared" si="142"/>
        <x:v>2.1818181818181821</x:v>
      </x:c>
      <x:c r="AB436" s="22">
        <x:v>0.93</x:v>
      </x:c>
      <x:c r="AC436" s="22">
        <x:f t="shared" si="143"/>
        <x:v>6.2803650605517536</x:v>
      </x:c>
    </x:row>
    <x:row r="437">
      <x:c r="A437" s="22" t="str">
        <x:v>IN50</x:v>
      </x:c>
      <x:c r="B437" s="22" t="s">
        <x:v>593</x:v>
      </x:c>
      <x:c r="C437" s="22">
        <x:v>45</x:v>
      </x:c>
      <x:c r="D437" s="22">
        <x:f t="shared" si="136"/>
        <x:v>80</x:v>
      </x:c>
      <x:c r="E437" s="22">
        <x:v>10</x:v>
      </x:c>
      <x:c r="F437" s="22">
        <x:v>22</x:v>
      </x:c>
      <x:c r="G437" s="22">
        <x:v>300</x:v>
      </x:c>
      <x:c r="H437" s="22">
        <x:v>1800000</x:v>
      </x:c>
      <x:c r="I437" s="22">
        <x:f t="shared" si="137"/>
        <x:v>0.34090909090909094</x:v>
      </x:c>
      <x:c r="J437" s="22">
        <x:v>0.62777055000000004</x:v>
      </x:c>
      <x:c r="K437" s="22">
        <x:v>55</x:v>
      </x:c>
      <x:c r="L437" s="22">
        <x:f t="shared" si="138"/>
        <x:v>0.43159225312499999</x:v>
      </x:c>
      <x:c r="M437" s="22">
        <x:v>3.7</x:v>
      </x:c>
      <x:c r="N437" s="22">
        <x:v>0</x:v>
      </x:c>
      <x:c r="O437" s="22">
        <x:f t="shared" si="139"/>
        <x:v>0</x:v>
      </x:c>
      <x:c r="P437" s="22">
        <x:f t="shared" si="140"/>
        <x:v>0.43159225312499999</x:v>
      </x:c>
      <x:c r="Q437" s="22">
        <x:v>0</x:v>
      </x:c>
      <x:c r="R437" s="22">
        <x:v>0</x:v>
      </x:c>
      <x:c r="S437" s="22">
        <x:v>2</x:v>
      </x:c>
      <x:c r="T437" s="22">
        <x:v>0</x:v>
      </x:c>
      <x:c r="U437" s="22">
        <x:v>2</x:v>
      </x:c>
      <x:c r="V437" s="22">
        <x:f t="shared" si="141"/>
        <x:v>0.05</x:v>
      </x:c>
      <x:c r="W437" s="22">
        <x:v>2</x:v>
      </x:c>
      <x:c r="X437" s="22">
        <x:v>6000</x:v>
      </x:c>
      <x:c r="Y437" s="22">
        <x:v>11</x:v>
      </x:c>
      <x:c r="Z437" s="22">
        <x:v>25</x:v>
      </x:c>
      <x:c r="AA437" s="22">
        <x:f t="shared" si="142"/>
        <x:v>0.54545454545454553</x:v>
      </x:c>
      <x:c r="AB437" s="22">
        <x:v>0.95</x:v>
      </x:c>
      <x:c r="AC437" s="22">
        <x:f t="shared" si="143"/>
        <x:v>1.4399535678827751</x:v>
      </x:c>
    </x:row>
    <x:row r="438">
      <x:c r="A438" s="22" t="str">
        <x:v>IN60</x:v>
      </x:c>
      <x:c r="B438" s="22" t="s">
        <x:v>594</x:v>
      </x:c>
      <x:c r="C438" s="22">
        <x:v>15</x:v>
      </x:c>
      <x:c r="D438" s="22">
        <x:f t="shared" si="136"/>
        <x:v>240</x:v>
      </x:c>
      <x:c r="E438" s="22">
        <x:v>8</x:v>
      </x:c>
      <x:c r="F438" s="22">
        <x:v>22</x:v>
      </x:c>
      <x:c r="G438" s="22">
        <x:v>300</x:v>
      </x:c>
      <x:c r="H438" s="22">
        <x:v>950000</x:v>
      </x:c>
      <x:c r="I438" s="22">
        <x:f t="shared" si="137"/>
        <x:v>7.4968434343434337E-2</x:v>
      </x:c>
      <x:c r="J438" s="22">
        <x:v>0.62777055000000004</x:v>
      </x:c>
      <x:c r="K438" s="22">
        <x:v>5</x:v>
      </x:c>
      <x:c r="L438" s="22">
        <x:f t="shared" si="138"/>
        <x:v>1.3078553125000001E-2</x:v>
      </x:c>
      <x:c r="M438" s="22">
        <x:v>3.7</x:v>
      </x:c>
      <x:c r="N438" s="22">
        <x:v>0</x:v>
      </x:c>
      <x:c r="O438" s="22">
        <x:f t="shared" si="139"/>
        <x:v>0</x:v>
      </x:c>
      <x:c r="P438" s="22">
        <x:f t="shared" si="140"/>
        <x:v>1.3078553125000001E-2</x:v>
      </x:c>
      <x:c r="Q438" s="22">
        <x:v>0</x:v>
      </x:c>
      <x:c r="R438" s="22">
        <x:v>0</x:v>
      </x:c>
      <x:c r="S438" s="22">
        <x:v>0</x:v>
      </x:c>
      <x:c r="T438" s="22">
        <x:v>0</x:v>
      </x:c>
      <x:c r="U438" s="22">
        <x:v>1</x:v>
      </x:c>
      <x:c r="V438" s="22">
        <x:f t="shared" si="141"/>
        <x:v>4.1666666666666666E-3</x:v>
      </x:c>
      <x:c r="W438" s="22">
        <x:v>1</x:v>
      </x:c>
      <x:c r="X438" s="22">
        <x:v>6000</x:v>
      </x:c>
      <x:c r="Y438" s="22">
        <x:v>11</x:v>
      </x:c>
      <x:c r="Z438" s="22">
        <x:v>25</x:v>
      </x:c>
      <x:c r="AA438" s="22">
        <x:f t="shared" si="142"/>
        <x:v>9.0909090909090912E-2</x:v>
      </x:c>
      <x:c r="AB438" s="22">
        <x:v>0.99</x:v>
      </x:c>
      <x:c r="AC438" s="22">
        <x:f t="shared" si="143"/>
        <x:v>0.184972469741608</x:v>
      </x:c>
    </x:row>
    <x:row r="439">
      <x:c r="A439" s="22"/>
      <x:c r="B439" s="22"/>
      <x:c r="C439" s="22"/>
      <x:c r="D439" s="22"/>
      <x:c r="E439" s="22"/>
      <x:c r="F439" s="22"/>
      <x:c r="G439" s="22"/>
      <x:c r="H439" s="22"/>
      <x:c r="I439" s="22"/>
      <x:c r="J439" s="22"/>
      <x:c r="K439" s="22"/>
      <x:c r="L439" s="22"/>
      <x:c r="M439" s="22"/>
      <x:c r="N439" s="22"/>
      <x:c r="O439" s="22"/>
      <x:c r="P439" s="22"/>
      <x:c r="Q439" s="22"/>
      <x:c r="R439" s="22"/>
      <x:c r="S439" s="22"/>
      <x:c r="T439" s="22"/>
      <x:c r="U439" s="22"/>
      <x:c r="V439" s="22"/>
      <x:c r="W439" s="22"/>
      <x:c r="X439" s="22"/>
      <x:c r="Y439" s="22"/>
      <x:c r="Z439" s="22"/>
      <x:c r="AA439" s="22"/>
      <x:c r="AB439" s="22"/>
      <x:c r="AC439" s="22"/>
    </x:row>
    <x:row r="440">
      <x:c r="A440" s="49" t="str">
        <x:v>汽车玻璃加工工艺</x:v>
      </x:c>
      <x:c r="B440" s="49"/>
      <x:c r="C440" s="49"/>
      <x:c r="D440" s="49"/>
      <x:c r="E440" s="49"/>
      <x:c r="F440" s="49"/>
      <x:c r="G440" s="49"/>
      <x:c r="H440" s="49"/>
      <x:c r="I440" s="49"/>
      <x:c r="J440" s="49"/>
      <x:c r="K440" s="49"/>
      <x:c r="L440" s="49"/>
      <x:c r="M440" s="49"/>
      <x:c r="N440" s="49"/>
      <x:c r="O440" s="49"/>
      <x:c r="P440" s="49"/>
      <x:c r="Q440" s="49"/>
      <x:c r="R440" s="49"/>
      <x:c r="S440" s="49"/>
      <x:c r="T440" s="49"/>
      <x:c r="U440" s="49"/>
      <x:c r="V440" s="49"/>
      <x:c r="W440" s="49"/>
      <x:c r="X440" s="49"/>
      <x:c r="Y440" s="49"/>
      <x:c r="Z440" s="49"/>
      <x:c r="AA440" s="49"/>
      <x:c r="AB440" s="49"/>
      <x:c r="AC440" s="49"/>
    </x:row>
    <x:row r="441">
      <x:c r="A441" s="22" t="str">
        <x:v>GL10</x:v>
      </x:c>
      <x:c r="B441" s="22" t="s">
        <x:v>595</x:v>
      </x:c>
      <x:c r="C441" s="22">
        <x:v>30</x:v>
      </x:c>
      <x:c r="D441" s="22" t="n">
        <x:f>IFERROR(60*60/C441,0)</x:f>
        <x:v>120</x:v>
      </x:c>
      <x:c r="E441" s="22">
        <x:v>10</x:v>
      </x:c>
      <x:c r="F441" s="22">
        <x:v>22</x:v>
      </x:c>
      <x:c r="G441" s="22">
        <x:v>300</x:v>
      </x:c>
      <x:c r="H441" s="22">
        <x:v>1800000</x:v>
      </x:c>
      <x:c r="I441" s="22" t="n">
        <x:f>IFERROR(H441/E441/F441/G441/D441,0)</x:f>
        <x:v>0.22727272727272727</x:v>
      </x:c>
      <x:c r="J441" s="22">
        <x:v>0.62777055000000004</x:v>
      </x:c>
      <x:c r="K441" s="22">
        <x:v>35</x:v>
      </x:c>
      <x:c r="L441" s="22" t="n">
        <x:f>IFERROR(J441*K441/D441,0)</x:f>
        <x:v>0.18309974375000002</x:v>
      </x:c>
      <x:c r="M441" s="22">
        <x:v>3.7</x:v>
      </x:c>
      <x:c r="N441" s="22">
        <x:v>0</x:v>
      </x:c>
      <x:c r="O441" s="22" t="n">
        <x:f>IFERROR(N441*M441/D441,0)</x:f>
        <x:v>0</x:v>
      </x:c>
      <x:c r="P441" s="22" t="n">
        <x:f>O441+L441</x:f>
        <x:v>0.18309974375000002</x:v>
      </x:c>
      <x:c r="Q441" s="22">
        <x:v>0</x:v>
      </x:c>
      <x:c r="R441" s="22">
        <x:v>0</x:v>
      </x:c>
      <x:c r="S441" s="22">
        <x:v>5</x:v>
      </x:c>
      <x:c r="T441" s="22">
        <x:v>3</x:v>
      </x:c>
      <x:c r="U441" s="22">
        <x:v>2</x:v>
      </x:c>
      <x:c r="V441" s="22" t="n">
        <x:f>IFERROR((Q441+R441+S441+T441+U441)/D441,0)</x:f>
        <x:v>0.08333333333333333</x:v>
      </x:c>
      <x:c r="W441" s="22">
        <x:v>3</x:v>
      </x:c>
      <x:c r="X441" s="22">
        <x:v>6000</x:v>
      </x:c>
      <x:c r="Y441" s="22">
        <x:v>11</x:v>
      </x:c>
      <x:c r="Z441" s="22">
        <x:v>25</x:v>
      </x:c>
      <x:c r="AA441" s="22" t="n">
        <x:f>IFERROR((W441*X441)/Y441/Z441/D441,0)</x:f>
        <x:v>0.5454545454545454</x:v>
      </x:c>
      <x:c r="AB441" s="22">
        <x:v>0.96</x:v>
      </x:c>
      <x:c r="AC441" s="22" t="n">
        <x:f>IFERROR((I441+P441+V441+AA441)/AB441,0)</x:f>
        <x:v>1.0824586977193815</x:v>
      </x:c>
    </x:row>
    <x:row r="442">
      <x:c r="A442" s="22" t="str">
        <x:v>GL20</x:v>
      </x:c>
      <x:c r="B442" s="22" t="s">
        <x:v>596</x:v>
      </x:c>
      <x:c r="C442" s="22">
        <x:v>15</x:v>
      </x:c>
      <x:c r="D442" s="22" t="n">
        <x:f>IFERROR(60*60/C442,0)</x:f>
        <x:v>240</x:v>
      </x:c>
      <x:c r="E442" s="22">
        <x:v>10</x:v>
      </x:c>
      <x:c r="F442" s="22">
        <x:v>22</x:v>
      </x:c>
      <x:c r="G442" s="22">
        <x:v>300</x:v>
      </x:c>
      <x:c r="H442" s="22">
        <x:v>1200000</x:v>
      </x:c>
      <x:c r="I442" s="22" t="n">
        <x:f>IFERROR(H442/E442/F442/G442/D442,0)</x:f>
        <x:v>0.07575757575757576</x:v>
      </x:c>
      <x:c r="J442" s="22">
        <x:v>0.62777055000000004</x:v>
      </x:c>
      <x:c r="K442" s="22">
        <x:v>18</x:v>
      </x:c>
      <x:c r="L442" s="22" t="n">
        <x:f>IFERROR(J442*K442/D442,0)</x:f>
        <x:v>0.047082791250000006</x:v>
      </x:c>
      <x:c r="M442" s="22">
        <x:v>3.7</x:v>
      </x:c>
      <x:c r="N442" s="22">
        <x:v>0</x:v>
      </x:c>
      <x:c r="O442" s="22" t="n">
        <x:f>IFERROR(N442*M442/D442,0)</x:f>
        <x:v>0</x:v>
      </x:c>
      <x:c r="P442" s="22" t="n">
        <x:f>O442+L442</x:f>
        <x:v>0.047082791250000006</x:v>
      </x:c>
      <x:c r="Q442" s="22">
        <x:v>0</x:v>
      </x:c>
      <x:c r="R442" s="22">
        <x:v>0</x:v>
      </x:c>
      <x:c r="S442" s="22">
        <x:v>2</x:v>
      </x:c>
      <x:c r="T442" s="22">
        <x:v>0</x:v>
      </x:c>
      <x:c r="U442" s="22">
        <x:v>2</x:v>
      </x:c>
      <x:c r="V442" s="22" t="n">
        <x:f>IFERROR((Q442+R442+S442+T442+U442)/D442,0)</x:f>
        <x:v>0.016666666666666666</x:v>
      </x:c>
      <x:c r="W442" s="22">
        <x:v>2</x:v>
      </x:c>
      <x:c r="X442" s="22">
        <x:v>6000</x:v>
      </x:c>
      <x:c r="Y442" s="22">
        <x:v>11</x:v>
      </x:c>
      <x:c r="Z442" s="22">
        <x:v>25</x:v>
      </x:c>
      <x:c r="AA442" s="22" t="n">
        <x:f>IFERROR((W442*X442)/Y442/Z442/D442,0)</x:f>
        <x:v>0.18181818181818182</x:v>
      </x:c>
      <x:c r="AB442" s="22">
        <x:v>0.97</x:v>
      </x:c>
      <x:c r="AC442" s="22" t="n">
        <x:f>IFERROR((I442+P442+V442+AA442)/AB442,0)</x:f>
        <x:v>0.3312631087550766</x:v>
      </x:c>
    </x:row>
    <x:row r="443">
      <x:c r="A443" s="22" t="str">
        <x:v>GL30</x:v>
      </x:c>
      <x:c r="B443" s="22" t="s">
        <x:v>597</x:v>
      </x:c>
      <x:c r="C443" s="22">
        <x:v>12</x:v>
      </x:c>
      <x:c r="D443" s="22" t="n">
        <x:f>IFERROR(60*60/C443,0)</x:f>
        <x:v>300</x:v>
      </x:c>
      <x:c r="E443" s="22">
        <x:v>12</x:v>
      </x:c>
      <x:c r="F443" s="22">
        <x:v>22</x:v>
      </x:c>
      <x:c r="G443" s="22">
        <x:v>300</x:v>
      </x:c>
      <x:c r="H443" s="22">
        <x:v>6500000</x:v>
      </x:c>
      <x:c r="I443" s="22" t="n">
        <x:f>IFERROR(H443/E443/F443/G443/D443,0)</x:f>
        <x:v>0.2735690235690236</x:v>
      </x:c>
      <x:c r="J443" s="22">
        <x:v>0.62777055000000004</x:v>
      </x:c>
      <x:c r="K443" s="22">
        <x:v>300</x:v>
      </x:c>
      <x:c r="L443" s="22" t="n">
        <x:f>IFERROR(J443*K443/D443,0)</x:f>
        <x:v>0.62777055</x:v>
      </x:c>
      <x:c r="M443" s="22">
        <x:v>3.7</x:v>
      </x:c>
      <x:c r="N443" s="22">
        <x:v>20</x:v>
      </x:c>
      <x:c r="O443" s="22" t="n">
        <x:f>IFERROR(N443*M443/D443,0)</x:f>
        <x:v>0.24666666666666667</x:v>
      </x:c>
      <x:c r="P443" s="22" t="n">
        <x:f>O443+L443</x:f>
        <x:v>0.8744372166666667</x:v>
      </x:c>
      <x:c r="Q443" s="22">
        <x:v>0</x:v>
      </x:c>
      <x:c r="R443" s="22">
        <x:v>0</x:v>
      </x:c>
      <x:c r="S443" s="22">
        <x:v>5</x:v>
      </x:c>
      <x:c r="T443" s="22">
        <x:v>0</x:v>
      </x:c>
      <x:c r="U443" s="22">
        <x:v>3</x:v>
      </x:c>
      <x:c r="V443" s="22" t="n">
        <x:f>IFERROR((Q443+R443+S443+T443+U443)/D443,0)</x:f>
        <x:v>0.02666666666666667</x:v>
      </x:c>
      <x:c r="W443" s="22">
        <x:v>5</x:v>
      </x:c>
      <x:c r="X443" s="22">
        <x:v>6000</x:v>
      </x:c>
      <x:c r="Y443" s="22">
        <x:v>11</x:v>
      </x:c>
      <x:c r="Z443" s="22">
        <x:v>25</x:v>
      </x:c>
      <x:c r="AA443" s="22" t="n">
        <x:f>IFERROR((W443*X443)/Y443/Z443/D443,0)</x:f>
        <x:v>0.36363636363636365</x:v>
      </x:c>
      <x:c r="AB443" s="22">
        <x:v>0.94</x:v>
      </x:c>
      <x:c r="AC443" s="22" t="n">
        <x:f>IFERROR((I443+P443+V443+AA443)/AB443,0)</x:f>
        <x:v>1.6364992239773626</x:v>
      </x:c>
    </x:row>
    <x:row r="444">
      <x:c r="A444" s="22" t="str">
        <x:v>GL40</x:v>
      </x:c>
      <x:c r="B444" s="22" t="s">
        <x:v>598</x:v>
      </x:c>
      <x:c r="C444" s="22">
        <x:v>25</x:v>
      </x:c>
      <x:c r="D444" s="22" t="n">
        <x:f>IFERROR(60*60/C444,0)</x:f>
        <x:v>144</x:v>
      </x:c>
      <x:c r="E444" s="22">
        <x:v>10</x:v>
      </x:c>
      <x:c r="F444" s="22">
        <x:v>22</x:v>
      </x:c>
      <x:c r="G444" s="22">
        <x:v>300</x:v>
      </x:c>
      <x:c r="H444" s="22">
        <x:v>2200000</x:v>
      </x:c>
      <x:c r="I444" s="22" t="n">
        <x:f>IFERROR(H444/E444/F444/G444/D444,0)</x:f>
        <x:v>0.2314814814814815</x:v>
      </x:c>
      <x:c r="J444" s="22">
        <x:v>0.62777055000000004</x:v>
      </x:c>
      <x:c r="K444" s="22">
        <x:v>55</x:v>
      </x:c>
      <x:c r="L444" s="22" t="n">
        <x:f>IFERROR(J444*K444/D444,0)</x:f>
        <x:v>0.23977347395833334</x:v>
      </x:c>
      <x:c r="M444" s="22">
        <x:v>3.7</x:v>
      </x:c>
      <x:c r="N444" s="22">
        <x:v>0</x:v>
      </x:c>
      <x:c r="O444" s="22" t="n">
        <x:f>IFERROR(N444*M444/D444,0)</x:f>
        <x:v>0</x:v>
      </x:c>
      <x:c r="P444" s="22" t="n">
        <x:f>O444+L444</x:f>
        <x:v>0.23977347395833334</x:v>
      </x:c>
      <x:c r="Q444" s="22">
        <x:v>0</x:v>
      </x:c>
      <x:c r="R444" s="22">
        <x:v>0</x:v>
      </x:c>
      <x:c r="S444" s="22">
        <x:v>0</x:v>
      </x:c>
      <x:c r="T444" s="22">
        <x:v>0</x:v>
      </x:c>
      <x:c r="U444" s="22">
        <x:v>3</x:v>
      </x:c>
      <x:c r="V444" s="22" t="n">
        <x:f>IFERROR((Q444+R444+S444+T444+U444)/D444,0)</x:f>
        <x:v>0.020833333333333332</x:v>
      </x:c>
      <x:c r="W444" s="22">
        <x:v>4</x:v>
      </x:c>
      <x:c r="X444" s="22">
        <x:v>6000</x:v>
      </x:c>
      <x:c r="Y444" s="22">
        <x:v>11</x:v>
      </x:c>
      <x:c r="Z444" s="22">
        <x:v>25</x:v>
      </x:c>
      <x:c r="AA444" s="22" t="n">
        <x:f>IFERROR((W444*X444)/Y444/Z444/D444,0)</x:f>
        <x:v>0.6060606060606061</x:v>
      </x:c>
      <x:c r="AB444" s="22">
        <x:v>0.95</x:v>
      </x:c>
      <x:c r="AC444" s="22" t="n">
        <x:f>IFERROR((I444+P444+V444+AA444)/AB444,0)</x:f>
        <x:v>1.1559462050881626</x:v>
      </x:c>
    </x:row>
    <x:row r="445">
      <x:c r="A445" s="22" t="str">
        <x:v>GL50</x:v>
      </x:c>
      <x:c r="B445" s="22" t="s">
        <x:v>599</x:v>
      </x:c>
      <x:c r="C445" s="22">
        <x:v>15</x:v>
      </x:c>
      <x:c r="D445" s="22" t="n">
        <x:f>IFERROR(60*60/C445,0)</x:f>
        <x:v>240</x:v>
      </x:c>
      <x:c r="E445" s="22">
        <x:v>12</x:v>
      </x:c>
      <x:c r="F445" s="22">
        <x:v>22</x:v>
      </x:c>
      <x:c r="G445" s="22">
        <x:v>300</x:v>
      </x:c>
      <x:c r="H445" s="22">
        <x:v>4500000</x:v>
      </x:c>
      <x:c r="I445" s="22" t="n">
        <x:f>IFERROR(H445/E445/F445/G445/D445,0)</x:f>
        <x:v>0.23674242424242423</x:v>
      </x:c>
      <x:c r="J445" s="22">
        <x:v>0.62777055000000004</x:v>
      </x:c>
      <x:c r="K445" s="22">
        <x:v>160</x:v>
      </x:c>
      <x:c r="L445" s="22" t="n">
        <x:f>IFERROR(J445*K445/D445,0)</x:f>
        <x:v>0.41851370000000004</x:v>
      </x:c>
      <x:c r="M445" s="22">
        <x:v>3.7</x:v>
      </x:c>
      <x:c r="N445" s="22">
        <x:v>10</x:v>
      </x:c>
      <x:c r="O445" s="22" t="n">
        <x:f>IFERROR(N445*M445/D445,0)</x:f>
        <x:v>0.15416666666666667</x:v>
      </x:c>
      <x:c r="P445" s="22" t="n">
        <x:f>O445+L445</x:f>
        <x:v>0.5726803666666667</x:v>
      </x:c>
      <x:c r="Q445" s="22">
        <x:v>0</x:v>
      </x:c>
      <x:c r="R445" s="22">
        <x:v>0</x:v>
      </x:c>
      <x:c r="S445" s="22">
        <x:v>3</x:v>
      </x:c>
      <x:c r="T445" s="22">
        <x:v>0</x:v>
      </x:c>
      <x:c r="U445" s="22">
        <x:v>2</x:v>
      </x:c>
      <x:c r="V445" s="22" t="n">
        <x:f>IFERROR((Q445+R445+S445+T445+U445)/D445,0)</x:f>
        <x:v>0.020833333333333332</x:v>
      </x:c>
      <x:c r="W445" s="22">
        <x:v>3</x:v>
      </x:c>
      <x:c r="X445" s="22">
        <x:v>6000</x:v>
      </x:c>
      <x:c r="Y445" s="22">
        <x:v>11</x:v>
      </x:c>
      <x:c r="Z445" s="22">
        <x:v>25</x:v>
      </x:c>
      <x:c r="AA445" s="22" t="n">
        <x:f>IFERROR((W445*X445)/Y445/Z445/D445,0)</x:f>
        <x:v>0.2727272727272727</x:v>
      </x:c>
      <x:c r="AB445" s="22">
        <x:v>0.96</x:v>
      </x:c>
      <x:c r="AC445" s="22" t="n">
        <x:f>IFERROR((I445+P445+V445+AA445)/AB445,0)</x:f>
        <x:v>1.148941038510101</x:v>
      </x:c>
    </x:row>
    <x:row r="446">
      <x:c r="A446" s="22"/>
      <x:c r="B446" s="22"/>
      <x:c r="C446" s="22"/>
      <x:c r="D446" s="22"/>
      <x:c r="E446" s="22"/>
      <x:c r="F446" s="22"/>
      <x:c r="G446" s="22"/>
      <x:c r="H446" s="22"/>
      <x:c r="I446" s="22"/>
      <x:c r="J446" s="22"/>
      <x:c r="K446" s="22"/>
      <x:c r="L446" s="22"/>
      <x:c r="M446" s="22"/>
      <x:c r="N446" s="22"/>
      <x:c r="O446" s="22"/>
      <x:c r="P446" s="22"/>
      <x:c r="Q446" s="22"/>
      <x:c r="R446" s="22"/>
      <x:c r="S446" s="22"/>
      <x:c r="T446" s="22"/>
      <x:c r="U446" s="22"/>
      <x:c r="V446" s="22"/>
      <x:c r="W446" s="22"/>
      <x:c r="X446" s="22"/>
      <x:c r="Y446" s="22"/>
      <x:c r="Z446" s="22"/>
      <x:c r="AA446" s="22"/>
      <x:c r="AB446" s="22"/>
      <x:c r="AC446" s="22"/>
    </x:row>
    <x:row r="447">
      <x:c r="A447" s="49" t="str">
        <x:v>增材制造/快速试制工艺</x:v>
      </x:c>
      <x:c r="B447" s="49"/>
      <x:c r="C447" s="49"/>
      <x:c r="D447" s="49"/>
      <x:c r="E447" s="49"/>
      <x:c r="F447" s="49"/>
      <x:c r="G447" s="49"/>
      <x:c r="H447" s="49"/>
      <x:c r="I447" s="49"/>
      <x:c r="J447" s="49"/>
      <x:c r="K447" s="49"/>
      <x:c r="L447" s="49"/>
      <x:c r="M447" s="49"/>
      <x:c r="N447" s="49"/>
      <x:c r="O447" s="49"/>
      <x:c r="P447" s="49"/>
      <x:c r="Q447" s="49"/>
      <x:c r="R447" s="49"/>
      <x:c r="S447" s="49"/>
      <x:c r="T447" s="49"/>
      <x:c r="U447" s="49"/>
      <x:c r="V447" s="49"/>
      <x:c r="W447" s="49"/>
      <x:c r="X447" s="49"/>
      <x:c r="Y447" s="49"/>
      <x:c r="Z447" s="49"/>
      <x:c r="AA447" s="49"/>
      <x:c r="AB447" s="49"/>
      <x:c r="AC447" s="49"/>
    </x:row>
    <x:row r="448">
      <x:c r="A448" s="22" t="str">
        <x:v>AM10</x:v>
      </x:c>
      <x:c r="B448" s="22" t="s">
        <x:v>600</x:v>
      </x:c>
      <x:c r="C448" s="22">
        <x:v>1800</x:v>
      </x:c>
      <x:c r="D448" s="22" t="n">
        <x:f>IFERROR(60*60/C448,0)</x:f>
        <x:v>2</x:v>
      </x:c>
      <x:c r="E448" s="22">
        <x:v>5</x:v>
      </x:c>
      <x:c r="F448" s="22">
        <x:v>22</x:v>
      </x:c>
      <x:c r="G448" s="22">
        <x:v>300</x:v>
      </x:c>
      <x:c r="H448" s="22">
        <x:v>60000</x:v>
      </x:c>
      <x:c r="I448" s="22" t="n">
        <x:f>IFERROR(H448/E448/F448/G448/D448,0)</x:f>
        <x:v>0.9090909090909092</x:v>
      </x:c>
      <x:c r="J448" s="22">
        <x:v>0.62777055000000004</x:v>
      </x:c>
      <x:c r="K448" s="22">
        <x:v>1</x:v>
      </x:c>
      <x:c r="L448" s="22" t="n">
        <x:f>IFERROR(J448*K448/D448,0)</x:f>
        <x:v>0.313885275</x:v>
      </x:c>
      <x:c r="M448" s="22">
        <x:v>3.7</x:v>
      </x:c>
      <x:c r="N448" s="22">
        <x:v>0</x:v>
      </x:c>
      <x:c r="O448" s="22" t="n">
        <x:f>IFERROR(N448*M448/D448,0)</x:f>
        <x:v>0</x:v>
      </x:c>
      <x:c r="P448" s="22" t="n">
        <x:f>O448+L448</x:f>
        <x:v>0.313885275</x:v>
      </x:c>
      <x:c r="Q448" s="22">
        <x:v>0</x:v>
      </x:c>
      <x:c r="R448" s="22">
        <x:v>0</x:v>
      </x:c>
      <x:c r="S448" s="22">
        <x:v>0</x:v>
      </x:c>
      <x:c r="T448" s="22">
        <x:v>0</x:v>
      </x:c>
      <x:c r="U448" s="22">
        <x:v>1</x:v>
      </x:c>
      <x:c r="V448" s="22" t="n">
        <x:f>IFERROR((Q448+R448+S448+T448+U448)/D448,0)</x:f>
        <x:v>0.5</x:v>
      </x:c>
      <x:c r="W448" s="22">
        <x:v>0.2</x:v>
      </x:c>
      <x:c r="X448" s="22">
        <x:v>6000</x:v>
      </x:c>
      <x:c r="Y448" s="22">
        <x:v>11</x:v>
      </x:c>
      <x:c r="Z448" s="22">
        <x:v>25</x:v>
      </x:c>
      <x:c r="AA448" s="22" t="n">
        <x:f>IFERROR((W448*X448)/Y448/Z448/D448,0)</x:f>
        <x:v>2.1818181818181817</x:v>
      </x:c>
      <x:c r="AB448" s="22">
        <x:v>0.9</x:v>
      </x:c>
      <x:c r="AC448" s="22" t="n">
        <x:f>IFERROR((I448+P448+V448+AA448)/AB448,0)</x:f>
        <x:v>4.338660406565657</x:v>
      </x:c>
    </x:row>
    <x:row r="449">
      <x:c r="A449" s="22" t="str">
        <x:v>AM20</x:v>
      </x:c>
      <x:c r="B449" s="22" t="s">
        <x:v>601</x:v>
      </x:c>
      <x:c r="C449" s="22">
        <x:v>1200</x:v>
      </x:c>
      <x:c r="D449" s="22" t="n">
        <x:f>IFERROR(60*60/C449,0)</x:f>
        <x:v>3</x:v>
      </x:c>
      <x:c r="E449" s="22">
        <x:v>5</x:v>
      </x:c>
      <x:c r="F449" s="22">
        <x:v>22</x:v>
      </x:c>
      <x:c r="G449" s="22">
        <x:v>300</x:v>
      </x:c>
      <x:c r="H449" s="22">
        <x:v>250000</x:v>
      </x:c>
      <x:c r="I449" s="22" t="n">
        <x:f>IFERROR(H449/E449/F449/G449/D449,0)</x:f>
        <x:v>2.525252525252525</x:v>
      </x:c>
      <x:c r="J449" s="22">
        <x:v>0.62777055000000004</x:v>
      </x:c>
      <x:c r="K449" s="22">
        <x:v>2</x:v>
      </x:c>
      <x:c r="L449" s="22" t="n">
        <x:f>IFERROR(J449*K449/D449,0)</x:f>
        <x:v>0.41851370000000004</x:v>
      </x:c>
      <x:c r="M449" s="22">
        <x:v>3.7</x:v>
      </x:c>
      <x:c r="N449" s="22">
        <x:v>0</x:v>
      </x:c>
      <x:c r="O449" s="22" t="n">
        <x:f>IFERROR(N449*M449/D449,0)</x:f>
        <x:v>0</x:v>
      </x:c>
      <x:c r="P449" s="22" t="n">
        <x:f>O449+L449</x:f>
        <x:v>0.41851370000000004</x:v>
      </x:c>
      <x:c r="Q449" s="22">
        <x:v>0</x:v>
      </x:c>
      <x:c r="R449" s="22">
        <x:v>0</x:v>
      </x:c>
      <x:c r="S449" s="22">
        <x:v>0</x:v>
      </x:c>
      <x:c r="T449" s="22">
        <x:v>0</x:v>
      </x:c>
      <x:c r="U449" s="22">
        <x:v>2</x:v>
      </x:c>
      <x:c r="V449" s="22" t="n">
        <x:f>IFERROR((Q449+R449+S449+T449+U449)/D449,0)</x:f>
        <x:v>0.6666666666666666</x:v>
      </x:c>
      <x:c r="W449" s="22">
        <x:v>0.3</x:v>
      </x:c>
      <x:c r="X449" s="22">
        <x:v>6000</x:v>
      </x:c>
      <x:c r="Y449" s="22">
        <x:v>11</x:v>
      </x:c>
      <x:c r="Z449" s="22">
        <x:v>25</x:v>
      </x:c>
      <x:c r="AA449" s="22" t="n">
        <x:f>IFERROR((W449*X449)/Y449/Z449/D449,0)</x:f>
        <x:v>2.1818181818181817</x:v>
      </x:c>
      <x:c r="AB449" s="22">
        <x:v>0.92</x:v>
      </x:c>
      <x:c r="AC449" s="22" t="n">
        <x:f>IFERROR((I449+P449+V449+AA449)/AB449,0)</x:f>
        <x:v>6.295925080149319</x:v>
      </x:c>
    </x:row>
    <x:row r="450">
      <x:c r="A450" s="22" t="str">
        <x:v>AM30</x:v>
      </x:c>
      <x:c r="B450" s="22" t="s">
        <x:v>602</x:v>
      </x:c>
      <x:c r="C450" s="22">
        <x:v>900</x:v>
      </x:c>
      <x:c r="D450" s="22" t="n">
        <x:f>IFERROR(60*60/C450,0)</x:f>
        <x:v>4</x:v>
      </x:c>
      <x:c r="E450" s="22">
        <x:v>7</x:v>
      </x:c>
      <x:c r="F450" s="22">
        <x:v>22</x:v>
      </x:c>
      <x:c r="G450" s="22">
        <x:v>300</x:v>
      </x:c>
      <x:c r="H450" s="22">
        <x:v>1200000</x:v>
      </x:c>
      <x:c r="I450" s="22" t="n">
        <x:f>IFERROR(H450/E450/F450/G450/D450,0)</x:f>
        <x:v>6.493506493506493</x:v>
      </x:c>
      <x:c r="J450" s="22">
        <x:v>0.62777055000000004</x:v>
      </x:c>
      <x:c r="K450" s="22">
        <x:v>12</x:v>
      </x:c>
      <x:c r="L450" s="22" t="n">
        <x:f>IFERROR(J450*K450/D450,0)</x:f>
        <x:v>1.88331165</x:v>
      </x:c>
      <x:c r="M450" s="22">
        <x:v>3.7</x:v>
      </x:c>
      <x:c r="N450" s="22">
        <x:v>0</x:v>
      </x:c>
      <x:c r="O450" s="22" t="n">
        <x:f>IFERROR(N450*M450/D450,0)</x:f>
        <x:v>0</x:v>
      </x:c>
      <x:c r="P450" s="22" t="n">
        <x:f>O450+L450</x:f>
        <x:v>1.88331165</x:v>
      </x:c>
      <x:c r="Q450" s="22">
        <x:v>0</x:v>
      </x:c>
      <x:c r="R450" s="22">
        <x:v>0</x:v>
      </x:c>
      <x:c r="S450" s="22">
        <x:v>0</x:v>
      </x:c>
      <x:c r="T450" s="22">
        <x:v>0</x:v>
      </x:c>
      <x:c r="U450" s="22">
        <x:v>3</x:v>
      </x:c>
      <x:c r="V450" s="22" t="n">
        <x:f>IFERROR((Q450+R450+S450+T450+U450)/D450,0)</x:f>
        <x:v>0.75</x:v>
      </x:c>
      <x:c r="W450" s="22">
        <x:v>0.5</x:v>
      </x:c>
      <x:c r="X450" s="22">
        <x:v>6000</x:v>
      </x:c>
      <x:c r="Y450" s="22">
        <x:v>11</x:v>
      </x:c>
      <x:c r="Z450" s="22">
        <x:v>25</x:v>
      </x:c>
      <x:c r="AA450" s="22" t="n">
        <x:f>IFERROR((W450*X450)/Y450/Z450/D450,0)</x:f>
        <x:v>2.7272727272727275</x:v>
      </x:c>
      <x:c r="AB450" s="22">
        <x:v>0.92</x:v>
      </x:c>
      <x:c r="AC450" s="22" t="n">
        <x:f>IFERROR((I450+P450+V450+AA450)/AB450,0)</x:f>
        <x:v>12.884881381281762</x:v>
      </x:c>
    </x:row>
    <x:row r="451">
      <x:c r="A451" s="22" t="str">
        <x:v>AM40</x:v>
      </x:c>
      <x:c r="B451" s="22" t="s">
        <x:v>603</x:v>
      </x:c>
      <x:c r="C451" s="22">
        <x:v>600</x:v>
      </x:c>
      <x:c r="D451" s="22" t="n">
        <x:f>IFERROR(60*60/C451,0)</x:f>
        <x:v>6</x:v>
      </x:c>
      <x:c r="E451" s="22">
        <x:v>7</x:v>
      </x:c>
      <x:c r="F451" s="22">
        <x:v>22</x:v>
      </x:c>
      <x:c r="G451" s="22">
        <x:v>300</x:v>
      </x:c>
      <x:c r="H451" s="22">
        <x:v>1800000</x:v>
      </x:c>
      <x:c r="I451" s="22" t="n">
        <x:f>IFERROR(H451/E451/F451/G451/D451,0)</x:f>
        <x:v>6.4935064935064934</x:v>
      </x:c>
      <x:c r="J451" s="22">
        <x:v>0.62777055000000004</x:v>
      </x:c>
      <x:c r="K451" s="22">
        <x:v>18</x:v>
      </x:c>
      <x:c r="L451" s="22" t="n">
        <x:f>IFERROR(J451*K451/D451,0)</x:f>
        <x:v>1.8833116500000002</x:v>
      </x:c>
      <x:c r="M451" s="22">
        <x:v>3.7</x:v>
      </x:c>
      <x:c r="N451" s="22">
        <x:v>0</x:v>
      </x:c>
      <x:c r="O451" s="22" t="n">
        <x:f>IFERROR(N451*M451/D451,0)</x:f>
        <x:v>0</x:v>
      </x:c>
      <x:c r="P451" s="22" t="n">
        <x:f>O451+L451</x:f>
        <x:v>1.8833116500000002</x:v>
      </x:c>
      <x:c r="Q451" s="22">
        <x:v>0</x:v>
      </x:c>
      <x:c r="R451" s="22">
        <x:v>0</x:v>
      </x:c>
      <x:c r="S451" s="22">
        <x:v>0</x:v>
      </x:c>
      <x:c r="T451" s="22">
        <x:v>0</x:v>
      </x:c>
      <x:c r="U451" s="22">
        <x:v>3</x:v>
      </x:c>
      <x:c r="V451" s="22" t="n">
        <x:f>IFERROR((Q451+R451+S451+T451+U451)/D451,0)</x:f>
        <x:v>0.5</x:v>
      </x:c>
      <x:c r="W451" s="22">
        <x:v>0.5</x:v>
      </x:c>
      <x:c r="X451" s="22">
        <x:v>6000</x:v>
      </x:c>
      <x:c r="Y451" s="22">
        <x:v>11</x:v>
      </x:c>
      <x:c r="Z451" s="22">
        <x:v>25</x:v>
      </x:c>
      <x:c r="AA451" s="22" t="n">
        <x:f>IFERROR((W451*X451)/Y451/Z451/D451,0)</x:f>
        <x:v>1.8181818181818183</x:v>
      </x:c>
      <x:c r="AB451" s="22">
        <x:v>0.94</x:v>
      </x:c>
      <x:c r="AC451" s="22" t="n">
        <x:f>IFERROR((I451+P451+V451+AA451)/AB451,0)</x:f>
        <x:v>11.377659533710972</x:v>
      </x:c>
    </x:row>
    <x:row r="452">
      <x:c r="A452" s="22" t="str">
        <x:v>AM50</x:v>
      </x:c>
      <x:c r="B452" s="22" t="s">
        <x:v>604</x:v>
      </x:c>
      <x:c r="C452" s="22">
        <x:v>2400</x:v>
      </x:c>
      <x:c r="D452" s="22" t="n">
        <x:f>IFERROR(60*60/C452,0)</x:f>
        <x:v>1.5</x:v>
      </x:c>
      <x:c r="E452" s="22">
        <x:v>7</x:v>
      </x:c>
      <x:c r="F452" s="22">
        <x:v>22</x:v>
      </x:c>
      <x:c r="G452" s="22">
        <x:v>300</x:v>
      </x:c>
      <x:c r="H452" s="22">
        <x:v>3500000</x:v>
      </x:c>
      <x:c r="I452" s="22" t="n">
        <x:f>IFERROR(H452/E452/F452/G452/D452,0)</x:f>
        <x:v>50.50505050505051</x:v>
      </x:c>
      <x:c r="J452" s="22">
        <x:v>0.62777055000000004</x:v>
      </x:c>
      <x:c r="K452" s="22">
        <x:v>25</x:v>
      </x:c>
      <x:c r="L452" s="22" t="n">
        <x:f>IFERROR(J452*K452/D452,0)</x:f>
        <x:v>10.4628425</x:v>
      </x:c>
      <x:c r="M452" s="22">
        <x:v>3.7</x:v>
      </x:c>
      <x:c r="N452" s="22">
        <x:v>3</x:v>
      </x:c>
      <x:c r="O452" s="22" t="n">
        <x:f>IFERROR(N452*M452/D452,0)</x:f>
        <x:v>7.400000000000001</x:v>
      </x:c>
      <x:c r="P452" s="22" t="n">
        <x:f>O452+L452</x:f>
        <x:v>17.862842500000003</x:v>
      </x:c>
      <x:c r="Q452" s="22">
        <x:v>0</x:v>
      </x:c>
      <x:c r="R452" s="22">
        <x:v>0</x:v>
      </x:c>
      <x:c r="S452" s="22">
        <x:v>0</x:v>
      </x:c>
      <x:c r="T452" s="22">
        <x:v>0</x:v>
      </x:c>
      <x:c r="U452" s="22">
        <x:v>5</x:v>
      </x:c>
      <x:c r="V452" s="22" t="n">
        <x:f>IFERROR((Q452+R452+S452+T452+U452)/D452,0)</x:f>
        <x:v>3.3333333333333335</x:v>
      </x:c>
      <x:c r="W452" s="22">
        <x:v>0.5</x:v>
      </x:c>
      <x:c r="X452" s="22">
        <x:v>6000</x:v>
      </x:c>
      <x:c r="Y452" s="22">
        <x:v>11</x:v>
      </x:c>
      <x:c r="Z452" s="22">
        <x:v>25</x:v>
      </x:c>
      <x:c r="AA452" s="22" t="n">
        <x:f>IFERROR((W452*X452)/Y452/Z452/D452,0)</x:f>
        <x:v>7.272727272727273</x:v>
      </x:c>
      <x:c r="AB452" s="22">
        <x:v>0.88</x:v>
      </x:c>
      <x:c r="AC452" s="22" t="n">
        <x:f>IFERROR((I452+P452+V452+AA452)/AB452,0)</x:f>
        <x:v>89.74312910353535</x:v>
      </x:c>
    </x:row>
    <x:row r="453">
      <x:c r="A453" s="22"/>
      <x:c r="B453" s="22"/>
      <x:c r="C453" s="22"/>
      <x:c r="D453" s="22"/>
      <x:c r="E453" s="22"/>
      <x:c r="F453" s="22"/>
      <x:c r="G453" s="22"/>
      <x:c r="H453" s="22"/>
      <x:c r="I453" s="22"/>
      <x:c r="J453" s="22"/>
      <x:c r="K453" s="22"/>
      <x:c r="L453" s="22"/>
      <x:c r="M453" s="22"/>
      <x:c r="N453" s="22"/>
      <x:c r="O453" s="22"/>
      <x:c r="P453" s="22"/>
      <x:c r="Q453" s="22"/>
      <x:c r="R453" s="22"/>
      <x:c r="S453" s="22"/>
      <x:c r="T453" s="22"/>
      <x:c r="U453" s="22"/>
      <x:c r="V453" s="22"/>
      <x:c r="W453" s="22"/>
      <x:c r="X453" s="22"/>
      <x:c r="Y453" s="22"/>
      <x:c r="Z453" s="22"/>
      <x:c r="AA453" s="22"/>
      <x:c r="AB453" s="22"/>
      <x:c r="AC453" s="22"/>
    </x:row>
    <x:row r="454">
      <x:c r="A454" s="49" t="str">
        <x:v>线束总成补充工艺</x:v>
      </x:c>
      <x:c r="B454" s="49"/>
      <x:c r="C454" s="49"/>
      <x:c r="D454" s="49"/>
      <x:c r="E454" s="49"/>
      <x:c r="F454" s="49"/>
      <x:c r="G454" s="49"/>
      <x:c r="H454" s="49"/>
      <x:c r="I454" s="49"/>
      <x:c r="J454" s="49"/>
      <x:c r="K454" s="49"/>
      <x:c r="L454" s="49"/>
      <x:c r="M454" s="49"/>
      <x:c r="N454" s="49"/>
      <x:c r="O454" s="49"/>
      <x:c r="P454" s="49"/>
      <x:c r="Q454" s="49"/>
      <x:c r="R454" s="49"/>
      <x:c r="S454" s="49"/>
      <x:c r="T454" s="49"/>
      <x:c r="U454" s="49"/>
      <x:c r="V454" s="49"/>
      <x:c r="W454" s="49"/>
      <x:c r="X454" s="49"/>
      <x:c r="Y454" s="49"/>
      <x:c r="Z454" s="49"/>
      <x:c r="AA454" s="49"/>
      <x:c r="AB454" s="49"/>
      <x:c r="AC454" s="49"/>
    </x:row>
    <x:row r="455">
      <x:c r="A455" s="22" t="str">
        <x:v>WH10</x:v>
      </x:c>
      <x:c r="B455" s="22" t="s">
        <x:v>605</x:v>
      </x:c>
      <x:c r="C455" s="22">
        <x:v>4</x:v>
      </x:c>
      <x:c r="D455" s="22" t="n">
        <x:f t="shared" ref="D455:D460" si="144">IFERROR(60*60/C455,0)</x:f>
        <x:v>900</x:v>
      </x:c>
      <x:c r="E455" s="22">
        <x:v>7</x:v>
      </x:c>
      <x:c r="F455" s="22">
        <x:v>22</x:v>
      </x:c>
      <x:c r="G455" s="22">
        <x:v>300</x:v>
      </x:c>
      <x:c r="H455" s="22">
        <x:v>180000</x:v>
      </x:c>
      <x:c r="I455" s="22" t="n">
        <x:f t="shared" ref="I455:I460" si="145">IFERROR(H455/E455/F455/G455/D455,0)</x:f>
        <x:v>0.004329004329004328</x:v>
      </x:c>
      <x:c r="J455" s="22">
        <x:v>0.62777055000000004</x:v>
      </x:c>
      <x:c r="K455" s="22">
        <x:v>3</x:v>
      </x:c>
      <x:c r="L455" s="22" t="n">
        <x:f t="shared" ref="L455:L460" si="146">IFERROR(J455*K455/D455,0)</x:f>
        <x:v>0.0020925685</x:v>
      </x:c>
      <x:c r="M455" s="22">
        <x:v>3.7</x:v>
      </x:c>
      <x:c r="N455" s="22">
        <x:v>0</x:v>
      </x:c>
      <x:c r="O455" s="22" t="n">
        <x:f t="shared" ref="O455:O460" si="147">IFERROR(N455*M455/D455,0)</x:f>
        <x:v>0</x:v>
      </x:c>
      <x:c r="P455" s="22" t="n">
        <x:f t="shared" ref="P455:P460" si="148">O455+L455</x:f>
        <x:v>0.0020925685</x:v>
      </x:c>
      <x:c r="Q455" s="22">
        <x:v>0</x:v>
      </x:c>
      <x:c r="R455" s="22">
        <x:v>0</x:v>
      </x:c>
      <x:c r="S455" s="22">
        <x:v>0</x:v>
      </x:c>
      <x:c r="T455" s="22">
        <x:v>0</x:v>
      </x:c>
      <x:c r="U455" s="22">
        <x:v>1</x:v>
      </x:c>
      <x:c r="V455" s="22" t="n">
        <x:f t="shared" ref="V455:V460" si="149">IFERROR((Q455+R455+S455+T455+U455)/D455,0)</x:f>
        <x:v>0.0011111111111111111</x:v>
      </x:c>
      <x:c r="W455" s="22">
        <x:v>1</x:v>
      </x:c>
      <x:c r="X455" s="22">
        <x:v>6000</x:v>
      </x:c>
      <x:c r="Y455" s="22">
        <x:v>11</x:v>
      </x:c>
      <x:c r="Z455" s="22">
        <x:v>25</x:v>
      </x:c>
      <x:c r="AA455" s="22" t="n">
        <x:f t="shared" ref="AA455:AA460" si="150">IFERROR((W455*X455)/Y455/Z455/D455,0)</x:f>
        <x:v>0.024242424242424246</x:v>
      </x:c>
      <x:c r="AB455" s="22">
        <x:v>0.995</x:v>
      </x:c>
      <x:c r="AC455" s="22" t="n">
        <x:f t="shared" ref="AC455:AC460" si="151">IFERROR((I455+P455+V455+AA455)/AB455,0)</x:f>
        <x:v>0.03193478209300471</x:v>
      </x:c>
    </x:row>
    <x:row r="456">
      <x:c r="A456" s="22" t="str">
        <x:v>WH20</x:v>
      </x:c>
      <x:c r="B456" s="22" t="s">
        <x:v>606</x:v>
      </x:c>
      <x:c r="C456" s="22">
        <x:v>5</x:v>
      </x:c>
      <x:c r="D456" s="22">
        <x:f t="shared" si="144"/>
        <x:v>720</x:v>
      </x:c>
      <x:c r="E456" s="22">
        <x:v>8</x:v>
      </x:c>
      <x:c r="F456" s="22">
        <x:v>22</x:v>
      </x:c>
      <x:c r="G456" s="22">
        <x:v>300</x:v>
      </x:c>
      <x:c r="H456" s="22">
        <x:v>650000</x:v>
      </x:c>
      <x:c r="I456" s="22">
        <x:f t="shared" si="145"/>
        <x:v>1.7098063973063973E-2</x:v>
      </x:c>
      <x:c r="J456" s="22">
        <x:v>0.62777055000000004</x:v>
      </x:c>
      <x:c r="K456" s="22">
        <x:v>6</x:v>
      </x:c>
      <x:c r="L456" s="22">
        <x:f t="shared" si="146"/>
        <x:v>5.2314212499999999E-3</x:v>
      </x:c>
      <x:c r="M456" s="22">
        <x:v>3.7</x:v>
      </x:c>
      <x:c r="N456" s="22">
        <x:v>0</x:v>
      </x:c>
      <x:c r="O456" s="22">
        <x:f t="shared" si="147"/>
        <x:v>0</x:v>
      </x:c>
      <x:c r="P456" s="22">
        <x:f t="shared" si="148"/>
        <x:v>5.2314212499999999E-3</x:v>
      </x:c>
      <x:c r="Q456" s="22">
        <x:v>0</x:v>
      </x:c>
      <x:c r="R456" s="22">
        <x:v>0</x:v>
      </x:c>
      <x:c r="S456" s="22">
        <x:v>0</x:v>
      </x:c>
      <x:c r="T456" s="22">
        <x:v>1</x:v>
      </x:c>
      <x:c r="U456" s="22">
        <x:v>1</x:v>
      </x:c>
      <x:c r="V456" s="22">
        <x:f t="shared" si="149"/>
        <x:v>2.7777777777777779E-3</x:v>
      </x:c>
      <x:c r="W456" s="22">
        <x:v>1</x:v>
      </x:c>
      <x:c r="X456" s="22">
        <x:v>6000</x:v>
      </x:c>
      <x:c r="Y456" s="22">
        <x:v>11</x:v>
      </x:c>
      <x:c r="Z456" s="22">
        <x:v>25</x:v>
      </x:c>
      <x:c r="AA456" s="22">
        <x:f t="shared" si="150"/>
        <x:v>3.0303030303030307E-2</x:v>
      </x:c>
      <x:c r="AB456" s="22">
        <x:v>0.99</x:v>
      </x:c>
      <x:c r="AC456" s="22">
        <x:f t="shared" si="151"/>
        <x:v>5.5969993236234403E-2</x:v>
      </x:c>
    </x:row>
    <x:row r="457">
      <x:c r="A457" s="22" t="str">
        <x:v>WH30</x:v>
      </x:c>
      <x:c r="B457" s="22" t="s">
        <x:v>607</x:v>
      </x:c>
      <x:c r="C457" s="22">
        <x:v>8</x:v>
      </x:c>
      <x:c r="D457" s="22">
        <x:f t="shared" si="144"/>
        <x:v>450</x:v>
      </x:c>
      <x:c r="E457" s="22">
        <x:v>5</x:v>
      </x:c>
      <x:c r="F457" s="22">
        <x:v>22</x:v>
      </x:c>
      <x:c r="G457" s="22">
        <x:v>300</x:v>
      </x:c>
      <x:c r="H457" s="22">
        <x:v>12000</x:v>
      </x:c>
      <x:c r="I457" s="22">
        <x:f t="shared" si="145"/>
        <x:v>8.0808080808080808E-4</x:v>
      </x:c>
      <x:c r="J457" s="22">
        <x:v>0.62777055000000004</x:v>
      </x:c>
      <x:c r="K457" s="22">
        <x:v>0.2</x:v>
      </x:c>
      <x:c r="L457" s="22">
        <x:f t="shared" si="146"/>
        <x:v>2.790091333333334E-4</x:v>
      </x:c>
      <x:c r="M457" s="22">
        <x:v>3.7</x:v>
      </x:c>
      <x:c r="N457" s="22">
        <x:v>0</x:v>
      </x:c>
      <x:c r="O457" s="22">
        <x:f t="shared" si="147"/>
        <x:v>0</x:v>
      </x:c>
      <x:c r="P457" s="22">
        <x:f t="shared" si="148"/>
        <x:v>2.790091333333334E-4</x:v>
      </x:c>
      <x:c r="Q457" s="22">
        <x:v>0</x:v>
      </x:c>
      <x:c r="R457" s="22">
        <x:v>0</x:v>
      </x:c>
      <x:c r="S457" s="22">
        <x:v>0</x:v>
      </x:c>
      <x:c r="T457" s="22">
        <x:v>0</x:v>
      </x:c>
      <x:c r="U457" s="22">
        <x:v>1</x:v>
      </x:c>
      <x:c r="V457" s="22">
        <x:f t="shared" si="149"/>
        <x:v>2.2222222222222222E-3</x:v>
      </x:c>
      <x:c r="W457" s="22">
        <x:v>1</x:v>
      </x:c>
      <x:c r="X457" s="22">
        <x:v>6000</x:v>
      </x:c>
      <x:c r="Y457" s="22">
        <x:v>11</x:v>
      </x:c>
      <x:c r="Z457" s="22">
        <x:v>25</x:v>
      </x:c>
      <x:c r="AA457" s="22">
        <x:f t="shared" si="150"/>
        <x:v>4.8484848484848492E-2</x:v>
      </x:c>
      <x:c r="AB457" s="22">
        <x:v>0.995</x:v>
      </x:c>
      <x:c r="AC457" s="22">
        <x:f t="shared" si="151"/>
        <x:v>5.2054432812547596E-2</x:v>
      </x:c>
    </x:row>
    <x:row r="458">
      <x:c r="A458" s="22" t="str">
        <x:v>WH40</x:v>
      </x:c>
      <x:c r="B458" s="22" t="s">
        <x:v>608</x:v>
      </x:c>
      <x:c r="C458" s="22">
        <x:v>45</x:v>
      </x:c>
      <x:c r="D458" s="22">
        <x:f t="shared" si="144"/>
        <x:v>80</x:v>
      </x:c>
      <x:c r="E458" s="22">
        <x:v>5</x:v>
      </x:c>
      <x:c r="F458" s="22">
        <x:v>22</x:v>
      </x:c>
      <x:c r="G458" s="22">
        <x:v>300</x:v>
      </x:c>
      <x:c r="H458" s="22">
        <x:v>35000</x:v>
      </x:c>
      <x:c r="I458" s="22">
        <x:f t="shared" si="145"/>
        <x:v>1.3257575757575756E-2</x:v>
      </x:c>
      <x:c r="J458" s="22">
        <x:v>0.62777055000000004</x:v>
      </x:c>
      <x:c r="K458" s="22">
        <x:v>0.5</x:v>
      </x:c>
      <x:c r="L458" s="22">
        <x:f t="shared" si="146"/>
        <x:v>3.9235659374999999E-3</x:v>
      </x:c>
      <x:c r="M458" s="22">
        <x:v>3.7</x:v>
      </x:c>
      <x:c r="N458" s="22">
        <x:v>0</x:v>
      </x:c>
      <x:c r="O458" s="22">
        <x:f t="shared" si="147"/>
        <x:v>0</x:v>
      </x:c>
      <x:c r="P458" s="22">
        <x:f t="shared" si="148"/>
        <x:v>3.9235659374999999E-3</x:v>
      </x:c>
      <x:c r="Q458" s="22">
        <x:v>0</x:v>
      </x:c>
      <x:c r="R458" s="22">
        <x:v>0</x:v>
      </x:c>
      <x:c r="S458" s="22">
        <x:v>0</x:v>
      </x:c>
      <x:c r="T458" s="22">
        <x:v>0</x:v>
      </x:c>
      <x:c r="U458" s="22">
        <x:v>1</x:v>
      </x:c>
      <x:c r="V458" s="22">
        <x:f t="shared" si="149"/>
        <x:v>1.2500000000000001E-2</x:v>
      </x:c>
      <x:c r="W458" s="22">
        <x:v>2</x:v>
      </x:c>
      <x:c r="X458" s="22">
        <x:v>6000</x:v>
      </x:c>
      <x:c r="Y458" s="22">
        <x:v>11</x:v>
      </x:c>
      <x:c r="Z458" s="22">
        <x:v>25</x:v>
      </x:c>
      <x:c r="AA458" s="22">
        <x:f t="shared" si="150"/>
        <x:v>0.54545454545454553</x:v>
      </x:c>
      <x:c r="AB458" s="22">
        <x:v>0.99</x:v>
      </x:c>
      <x:c r="AC458" s="22">
        <x:f t="shared" si="151"/>
        <x:v>0.58094513853497098</x:v>
      </x:c>
    </x:row>
    <x:row r="459">
      <x:c r="A459" s="22" t="str">
        <x:v>WH50</x:v>
      </x:c>
      <x:c r="B459" s="22" t="s">
        <x:v>609</x:v>
      </x:c>
      <x:c r="C459" s="22">
        <x:v>18</x:v>
      </x:c>
      <x:c r="D459" s="22">
        <x:f t="shared" si="144"/>
        <x:v>200</x:v>
      </x:c>
      <x:c r="E459" s="22">
        <x:v>5</x:v>
      </x:c>
      <x:c r="F459" s="22">
        <x:v>22</x:v>
      </x:c>
      <x:c r="G459" s="22">
        <x:v>300</x:v>
      </x:c>
      <x:c r="H459" s="22">
        <x:v>15000</x:v>
      </x:c>
      <x:c r="I459" s="22">
        <x:f t="shared" si="145"/>
        <x:v>2.2727272727272731E-3</x:v>
      </x:c>
      <x:c r="J459" s="22">
        <x:v>0.62777055000000004</x:v>
      </x:c>
      <x:c r="K459" s="22">
        <x:v>0.2</x:v>
      </x:c>
      <x:c r="L459" s="22">
        <x:f t="shared" si="146"/>
        <x:v>6.2777055000000012E-4</x:v>
      </x:c>
      <x:c r="M459" s="22">
        <x:v>3.7</x:v>
      </x:c>
      <x:c r="N459" s="22">
        <x:v>0</x:v>
      </x:c>
      <x:c r="O459" s="22">
        <x:f t="shared" si="147"/>
        <x:v>0</x:v>
      </x:c>
      <x:c r="P459" s="22">
        <x:f t="shared" si="148"/>
        <x:v>6.2777055000000012E-4</x:v>
      </x:c>
      <x:c r="Q459" s="22">
        <x:v>0</x:v>
      </x:c>
      <x:c r="R459" s="22">
        <x:v>0</x:v>
      </x:c>
      <x:c r="S459" s="22">
        <x:v>0</x:v>
      </x:c>
      <x:c r="T459" s="22">
        <x:v>0</x:v>
      </x:c>
      <x:c r="U459" s="22">
        <x:v>1</x:v>
      </x:c>
      <x:c r="V459" s="22">
        <x:f t="shared" si="149"/>
        <x:v>5.0000000000000001E-3</x:v>
      </x:c>
      <x:c r="W459" s="22">
        <x:v>1</x:v>
      </x:c>
      <x:c r="X459" s="22">
        <x:v>6000</x:v>
      </x:c>
      <x:c r="Y459" s="22">
        <x:v>11</x:v>
      </x:c>
      <x:c r="Z459" s="22">
        <x:v>25</x:v>
      </x:c>
      <x:c r="AA459" s="22">
        <x:f t="shared" si="150"/>
        <x:v>0.1090909090909091</x:v>
      </x:c>
      <x:c r="AB459" s="22">
        <x:v>0.99</x:v>
      </x:c>
      <x:c r="AC459" s="22">
        <x:f t="shared" si="151"/>
        <x:v>0.11817313829660239</x:v>
      </x:c>
    </x:row>
    <x:row r="460">
      <x:c r="A460" s="22" t="str">
        <x:v>WH60</x:v>
      </x:c>
      <x:c r="B460" s="22" t="s">
        <x:v>610</x:v>
      </x:c>
      <x:c r="C460" s="22">
        <x:v>15</x:v>
      </x:c>
      <x:c r="D460" s="22">
        <x:f t="shared" si="144"/>
        <x:v>240</x:v>
      </x:c>
      <x:c r="E460" s="22">
        <x:v>7</x:v>
      </x:c>
      <x:c r="F460" s="22">
        <x:v>22</x:v>
      </x:c>
      <x:c r="G460" s="22">
        <x:v>300</x:v>
      </x:c>
      <x:c r="H460" s="22">
        <x:v>220000</x:v>
      </x:c>
      <x:c r="I460" s="22">
        <x:f t="shared" si="145"/>
        <x:v>1.984126984126984E-2</x:v>
      </x:c>
      <x:c r="J460" s="22">
        <x:v>0.62777055000000004</x:v>
      </x:c>
      <x:c r="K460" s="22">
        <x:v>2</x:v>
      </x:c>
      <x:c r="L460" s="22">
        <x:f t="shared" si="146"/>
        <x:v>5.2314212500000007E-3</x:v>
      </x:c>
      <x:c r="M460" s="22">
        <x:v>3.7</x:v>
      </x:c>
      <x:c r="N460" s="22">
        <x:v>0</x:v>
      </x:c>
      <x:c r="O460" s="22">
        <x:f t="shared" si="147"/>
        <x:v>0</x:v>
      </x:c>
      <x:c r="P460" s="22">
        <x:f t="shared" si="148"/>
        <x:v>5.2314212500000007E-3</x:v>
      </x:c>
      <x:c r="Q460" s="22">
        <x:v>0</x:v>
      </x:c>
      <x:c r="R460" s="22">
        <x:v>0</x:v>
      </x:c>
      <x:c r="S460" s="22">
        <x:v>0</x:v>
      </x:c>
      <x:c r="T460" s="22">
        <x:v>0</x:v>
      </x:c>
      <x:c r="U460" s="22">
        <x:v>1</x:v>
      </x:c>
      <x:c r="V460" s="22">
        <x:f t="shared" si="149"/>
        <x:v>4.1666666666666666E-3</x:v>
      </x:c>
      <x:c r="W460" s="22">
        <x:v>1</x:v>
      </x:c>
      <x:c r="X460" s="22">
        <x:v>6000</x:v>
      </x:c>
      <x:c r="Y460" s="22">
        <x:v>11</x:v>
      </x:c>
      <x:c r="Z460" s="22">
        <x:v>25</x:v>
      </x:c>
      <x:c r="AA460" s="22">
        <x:f t="shared" si="150"/>
        <x:v>9.0909090909090912E-2</x:v>
      </x:c>
      <x:c r="AB460" s="22">
        <x:v>0.995</x:v>
      </x:c>
      <x:c r="AC460" s="22">
        <x:f t="shared" si="151"/>
        <x:v>0.12075220971560545</x:v>
      </x:c>
    </x:row>
    <x:row r="461">
      <x:c r="A461" s="22"/>
      <x:c r="B461" s="22"/>
      <x:c r="C461" s="22"/>
      <x:c r="D461" s="22"/>
      <x:c r="E461" s="22"/>
      <x:c r="F461" s="22"/>
      <x:c r="G461" s="22"/>
      <x:c r="H461" s="22"/>
      <x:c r="I461" s="22"/>
      <x:c r="J461" s="22"/>
      <x:c r="K461" s="22"/>
      <x:c r="L461" s="22"/>
      <x:c r="M461" s="22"/>
      <x:c r="N461" s="22"/>
      <x:c r="O461" s="22"/>
      <x:c r="P461" s="22"/>
      <x:c r="Q461" s="22"/>
      <x:c r="R461" s="22"/>
      <x:c r="S461" s="22"/>
      <x:c r="T461" s="22"/>
      <x:c r="U461" s="22"/>
      <x:c r="V461" s="22"/>
      <x:c r="W461" s="22"/>
      <x:c r="X461" s="22"/>
      <x:c r="Y461" s="22"/>
      <x:c r="Z461" s="22"/>
      <x:c r="AA461" s="22"/>
      <x:c r="AB461" s="22"/>
      <x:c r="AC461" s="22"/>
    </x:row>
    <x:row r="462">
      <x:c r="A462" s="49" t="str">
        <x:v>驱动电机制造工艺</x:v>
      </x:c>
      <x:c r="B462" s="49"/>
      <x:c r="C462" s="49"/>
      <x:c r="D462" s="49"/>
      <x:c r="E462" s="49"/>
      <x:c r="F462" s="49"/>
      <x:c r="G462" s="49"/>
      <x:c r="H462" s="49"/>
      <x:c r="I462" s="49"/>
      <x:c r="J462" s="49"/>
      <x:c r="K462" s="49"/>
      <x:c r="L462" s="49"/>
      <x:c r="M462" s="49"/>
      <x:c r="N462" s="49"/>
      <x:c r="O462" s="49"/>
      <x:c r="P462" s="49"/>
      <x:c r="Q462" s="49"/>
      <x:c r="R462" s="49"/>
      <x:c r="S462" s="49"/>
      <x:c r="T462" s="49"/>
      <x:c r="U462" s="49"/>
      <x:c r="V462" s="49"/>
      <x:c r="W462" s="49"/>
      <x:c r="X462" s="49"/>
      <x:c r="Y462" s="49"/>
      <x:c r="Z462" s="49"/>
      <x:c r="AA462" s="49"/>
      <x:c r="AB462" s="49"/>
      <x:c r="AC462" s="49"/>
    </x:row>
    <x:row r="463">
      <x:c r="A463" s="22" t="str">
        <x:v>EM10</x:v>
      </x:c>
      <x:c r="B463" s="22" t="s">
        <x:v>611</x:v>
      </x:c>
      <x:c r="C463" s="22">
        <x:v>4</x:v>
      </x:c>
      <x:c r="D463" s="22" t="n">
        <x:f t="shared" ref="D463:D469" si="152">IFERROR(60*60/C463,0)</x:f>
        <x:v>900</x:v>
      </x:c>
      <x:c r="E463" s="22">
        <x:v>10</x:v>
      </x:c>
      <x:c r="F463" s="22">
        <x:v>22</x:v>
      </x:c>
      <x:c r="G463" s="22">
        <x:v>300</x:v>
      </x:c>
      <x:c r="H463" s="22">
        <x:v>1800000</x:v>
      </x:c>
      <x:c r="I463" s="22" t="n">
        <x:f t="shared" ref="I463:I469" si="153">IFERROR(H463/E463/F463/G463/D463,0)</x:f>
        <x:v>0.030303030303030304</x:v>
      </x:c>
      <x:c r="J463" s="22">
        <x:v>0.62777055000000004</x:v>
      </x:c>
      <x:c r="K463" s="22">
        <x:v>25</x:v>
      </x:c>
      <x:c r="L463" s="22" t="n">
        <x:f t="shared" ref="L463:L469" si="154">IFERROR(J463*K463/D463,0)</x:f>
        <x:v>0.017438070833333333</x:v>
      </x:c>
      <x:c r="M463" s="22">
        <x:v>3.7</x:v>
      </x:c>
      <x:c r="N463" s="22">
        <x:v>0</x:v>
      </x:c>
      <x:c r="O463" s="22" t="n">
        <x:f t="shared" ref="O463:O469" si="155">IFERROR(N463*M463/D463,0)</x:f>
        <x:v>0</x:v>
      </x:c>
      <x:c r="P463" s="22" t="n">
        <x:f t="shared" ref="P463:P469" si="156">O463+L463</x:f>
        <x:v>0.017438070833333333</x:v>
      </x:c>
      <x:c r="Q463" s="22">
        <x:v>0</x:v>
      </x:c>
      <x:c r="R463" s="22">
        <x:v>0</x:v>
      </x:c>
      <x:c r="S463" s="22">
        <x:v>0</x:v>
      </x:c>
      <x:c r="T463" s="22">
        <x:v>2</x:v>
      </x:c>
      <x:c r="U463" s="22">
        <x:v>1</x:v>
      </x:c>
      <x:c r="V463" s="22" t="n">
        <x:f t="shared" ref="V463:V469" si="157">IFERROR((Q463+R463+S463+T463+U463)/D463,0)</x:f>
        <x:v>0.0033333333333333335</x:v>
      </x:c>
      <x:c r="W463" s="22">
        <x:v>2</x:v>
      </x:c>
      <x:c r="X463" s="22">
        <x:v>6000</x:v>
      </x:c>
      <x:c r="Y463" s="22">
        <x:v>11</x:v>
      </x:c>
      <x:c r="Z463" s="22">
        <x:v>25</x:v>
      </x:c>
      <x:c r="AA463" s="22" t="n">
        <x:f t="shared" ref="AA463:AA469" si="158">IFERROR((W463*X463)/Y463/Z463/D463,0)</x:f>
        <x:v>0.04848484848484849</x:v>
      </x:c>
      <x:c r="AB463" s="22">
        <x:v>0.97</x:v>
      </x:c>
      <x:c r="AC463" s="22" t="n">
        <x:f t="shared" ref="AC463:AC469" si="159">IFERROR((I463+P463+V463+AA463)/AB463,0)</x:f>
        <x:v>0.10263843603561389</x:v>
      </x:c>
    </x:row>
    <x:row r="464">
      <x:c r="A464" s="22" t="str">
        <x:v>EM20</x:v>
      </x:c>
      <x:c r="B464" s="22" t="s">
        <x:v>612</x:v>
      </x:c>
      <x:c r="C464" s="22">
        <x:v>6</x:v>
      </x:c>
      <x:c r="D464" s="22">
        <x:f t="shared" si="152"/>
        <x:v>600</x:v>
      </x:c>
      <x:c r="E464" s="22">
        <x:v>10</x:v>
      </x:c>
      <x:c r="F464" s="22">
        <x:v>22</x:v>
      </x:c>
      <x:c r="G464" s="22">
        <x:v>300</x:v>
      </x:c>
      <x:c r="H464" s="22">
        <x:v>2200000</x:v>
      </x:c>
      <x:c r="I464" s="22">
        <x:f t="shared" si="153"/>
        <x:v>5.5555555555555559E-2</x:v>
      </x:c>
      <x:c r="J464" s="22">
        <x:v>0.62777055000000004</x:v>
      </x:c>
      <x:c r="K464" s="22">
        <x:v>30</x:v>
      </x:c>
      <x:c r="L464" s="22">
        <x:f t="shared" si="154"/>
        <x:v>3.1388527500000006E-2</x:v>
      </x:c>
      <x:c r="M464" s="22">
        <x:v>3.7</x:v>
      </x:c>
      <x:c r="N464" s="22">
        <x:v>0</x:v>
      </x:c>
      <x:c r="O464" s="22">
        <x:f t="shared" si="155"/>
        <x:v>0</x:v>
      </x:c>
      <x:c r="P464" s="22">
        <x:f t="shared" si="156"/>
        <x:v>3.1388527500000006E-2</x:v>
      </x:c>
      <x:c r="Q464" s="22">
        <x:v>0</x:v>
      </x:c>
      <x:c r="R464" s="22">
        <x:v>0</x:v>
      </x:c>
      <x:c r="S464" s="22">
        <x:v>0</x:v>
      </x:c>
      <x:c r="T464" s="22">
        <x:v>2</x:v>
      </x:c>
      <x:c r="U464" s="22">
        <x:v>1</x:v>
      </x:c>
      <x:c r="V464" s="22">
        <x:f t="shared" si="157"/>
        <x:v>5.0000000000000001E-3</x:v>
      </x:c>
      <x:c r="W464" s="22">
        <x:v>2</x:v>
      </x:c>
      <x:c r="X464" s="22">
        <x:v>6000</x:v>
      </x:c>
      <x:c r="Y464" s="22">
        <x:v>11</x:v>
      </x:c>
      <x:c r="Z464" s="22">
        <x:v>25</x:v>
      </x:c>
      <x:c r="AA464" s="22">
        <x:f t="shared" si="158"/>
        <x:v>7.2727272727272738E-2</x:v>
      </x:c>
      <x:c r="AB464" s="22">
        <x:v>0.97</x:v>
      </x:c>
      <x:c r="AC464" s="22">
        <x:f t="shared" si="159"/>
        <x:v>0.16976428431219415</x:v>
      </x:c>
    </x:row>
    <x:row r="465">
      <x:c r="A465" s="22" t="str">
        <x:v>EM30</x:v>
      </x:c>
      <x:c r="B465" s="22" t="s">
        <x:v>613</x:v>
      </x:c>
      <x:c r="C465" s="22">
        <x:v>5</x:v>
      </x:c>
      <x:c r="D465" s="22">
        <x:f t="shared" si="152"/>
        <x:v>720</x:v>
      </x:c>
      <x:c r="E465" s="22">
        <x:v>10</x:v>
      </x:c>
      <x:c r="F465" s="22">
        <x:v>22</x:v>
      </x:c>
      <x:c r="G465" s="22">
        <x:v>300</x:v>
      </x:c>
      <x:c r="H465" s="22">
        <x:v>1600000</x:v>
      </x:c>
      <x:c r="I465" s="22">
        <x:f t="shared" si="153"/>
        <x:v>3.3670033670033669E-2</x:v>
      </x:c>
      <x:c r="J465" s="22">
        <x:v>0.62777055000000004</x:v>
      </x:c>
      <x:c r="K465" s="22">
        <x:v>20</x:v>
      </x:c>
      <x:c r="L465" s="22">
        <x:f t="shared" si="154"/>
        <x:v>1.7438070833333336E-2</x:v>
      </x:c>
      <x:c r="M465" s="22">
        <x:v>3.7</x:v>
      </x:c>
      <x:c r="N465" s="22">
        <x:v>0</x:v>
      </x:c>
      <x:c r="O465" s="22">
        <x:f t="shared" si="155"/>
        <x:v>0</x:v>
      </x:c>
      <x:c r="P465" s="22">
        <x:f t="shared" si="156"/>
        <x:v>1.7438070833333336E-2</x:v>
      </x:c>
      <x:c r="Q465" s="22">
        <x:v>0</x:v>
      </x:c>
      <x:c r="R465" s="22">
        <x:v>0</x:v>
      </x:c>
      <x:c r="S465" s="22">
        <x:v>0</x:v>
      </x:c>
      <x:c r="T465" s="22">
        <x:v>2</x:v>
      </x:c>
      <x:c r="U465" s="22">
        <x:v>1</x:v>
      </x:c>
      <x:c r="V465" s="22">
        <x:f t="shared" si="157"/>
        <x:v>4.1666666666666666E-3</x:v>
      </x:c>
      <x:c r="W465" s="22">
        <x:v>2</x:v>
      </x:c>
      <x:c r="X465" s="22">
        <x:v>6000</x:v>
      </x:c>
      <x:c r="Y465" s="22">
        <x:v>11</x:v>
      </x:c>
      <x:c r="Z465" s="22">
        <x:v>25</x:v>
      </x:c>
      <x:c r="AA465" s="22">
        <x:f t="shared" si="158"/>
        <x:v>6.0606060606060615E-2</x:v>
      </x:c>
      <x:c r="AB465" s="22">
        <x:v>0.97</x:v>
      </x:c>
      <x:c r="AC465" s="22">
        <x:f t="shared" si="159"/>
        <x:v>0.11946477502690134</x:v>
      </x:c>
    </x:row>
    <x:row r="466">
      <x:c r="A466" s="22" t="str">
        <x:v>EM40</x:v>
      </x:c>
      <x:c r="B466" s="22" t="s">
        <x:v>614</x:v>
      </x:c>
      <x:c r="C466" s="22">
        <x:v>3</x:v>
      </x:c>
      <x:c r="D466" s="22">
        <x:f t="shared" si="152"/>
        <x:v>1200</x:v>
      </x:c>
      <x:c r="E466" s="22">
        <x:v>10</x:v>
      </x:c>
      <x:c r="F466" s="22">
        <x:v>22</x:v>
      </x:c>
      <x:c r="G466" s="22">
        <x:v>300</x:v>
      </x:c>
      <x:c r="H466" s="22">
        <x:v>2800000</x:v>
      </x:c>
      <x:c r="I466" s="22">
        <x:f t="shared" si="153"/>
        <x:v>3.5353535353535359E-2</x:v>
      </x:c>
      <x:c r="J466" s="22">
        <x:v>0.62777055000000004</x:v>
      </x:c>
      <x:c r="K466" s="22">
        <x:v>18</x:v>
      </x:c>
      <x:c r="L466" s="22">
        <x:f t="shared" si="154"/>
        <x:v>9.4165582500000001E-3</x:v>
      </x:c>
      <x:c r="M466" s="22">
        <x:v>3.7</x:v>
      </x:c>
      <x:c r="N466" s="22">
        <x:v>1</x:v>
      </x:c>
      <x:c r="O466" s="22">
        <x:f t="shared" si="155"/>
        <x:v>3.0833333333333333E-3</x:v>
      </x:c>
      <x:c r="P466" s="22">
        <x:f t="shared" si="156"/>
        <x:v>1.2499891583333334E-2</x:v>
      </x:c>
      <x:c r="Q466" s="22">
        <x:v>0</x:v>
      </x:c>
      <x:c r="R466" s="22">
        <x:v>0</x:v>
      </x:c>
      <x:c r="S466" s="22">
        <x:v>0</x:v>
      </x:c>
      <x:c r="T466" s="22">
        <x:v>2</x:v>
      </x:c>
      <x:c r="U466" s="22">
        <x:v>1</x:v>
      </x:c>
      <x:c r="V466" s="22">
        <x:f t="shared" si="157"/>
        <x:v>2.5000000000000001E-3</x:v>
      </x:c>
      <x:c r="W466" s="22">
        <x:v>2</x:v>
      </x:c>
      <x:c r="X466" s="22">
        <x:v>6000</x:v>
      </x:c>
      <x:c r="Y466" s="22">
        <x:v>11</x:v>
      </x:c>
      <x:c r="Z466" s="22">
        <x:v>25</x:v>
      </x:c>
      <x:c r="AA466" s="22">
        <x:f t="shared" si="158"/>
        <x:v>3.6363636363636369E-2</x:v>
      </x:c>
      <x:c r="AB466" s="22">
        <x:v>0.96</x:v>
      </x:c>
      <x:c r="AC466" s="22">
        <x:f t="shared" si="159"/>
        <x:v>9.0330274271359437E-2</x:v>
      </x:c>
    </x:row>
    <x:row r="467">
      <x:c r="A467" s="22" t="str">
        <x:v>EM50</x:v>
      </x:c>
      <x:c r="B467" s="22" t="s">
        <x:v>615</x:v>
      </x:c>
      <x:c r="C467" s="22">
        <x:v>12</x:v>
      </x:c>
      <x:c r="D467" s="22">
        <x:f t="shared" si="152"/>
        <x:v>300</x:v>
      </x:c>
      <x:c r="E467" s="22">
        <x:v>10</x:v>
      </x:c>
      <x:c r="F467" s="22">
        <x:v>22</x:v>
      </x:c>
      <x:c r="G467" s="22">
        <x:v>300</x:v>
      </x:c>
      <x:c r="H467" s="22">
        <x:v>1800000</x:v>
      </x:c>
      <x:c r="I467" s="22">
        <x:f t="shared" si="153"/>
        <x:v>9.0909090909090912E-2</x:v>
      </x:c>
      <x:c r="J467" s="22">
        <x:v>0.62777055000000004</x:v>
      </x:c>
      <x:c r="K467" s="22">
        <x:v>45</x:v>
      </x:c>
      <x:c r="L467" s="22">
        <x:f t="shared" si="154"/>
        <x:v>9.4165582499999997E-2</x:v>
      </x:c>
      <x:c r="M467" s="22">
        <x:v>3.7</x:v>
      </x:c>
      <x:c r="N467" s="22">
        <x:v>4</x:v>
      </x:c>
      <x:c r="O467" s="22">
        <x:f t="shared" si="155"/>
        <x:v>4.9333333333333333E-2</x:v>
      </x:c>
      <x:c r="P467" s="22">
        <x:f t="shared" si="156"/>
        <x:v>0.14349891583333332</x:v>
      </x:c>
      <x:c r="Q467" s="22">
        <x:v>0</x:v>
      </x:c>
      <x:c r="R467" s="22">
        <x:v>0</x:v>
      </x:c>
      <x:c r="S467" s="22">
        <x:v>2</x:v>
      </x:c>
      <x:c r="T467" s="22">
        <x:v>0</x:v>
      </x:c>
      <x:c r="U467" s="22">
        <x:v>3</x:v>
      </x:c>
      <x:c r="V467" s="22">
        <x:f t="shared" si="157"/>
        <x:v>1.6666666666666666E-2</x:v>
      </x:c>
      <x:c r="W467" s="22">
        <x:v>3</x:v>
      </x:c>
      <x:c r="X467" s="22">
        <x:v>6000</x:v>
      </x:c>
      <x:c r="Y467" s="22">
        <x:v>11</x:v>
      </x:c>
      <x:c r="Z467" s="22">
        <x:v>25</x:v>
      </x:c>
      <x:c r="AA467" s="22">
        <x:f t="shared" si="158"/>
        <x:v>0.21818181818181817</x:v>
      </x:c>
      <x:c r="AB467" s="22">
        <x:v>0.96</x:v>
      </x:c>
      <x:c r="AC467" s="22">
        <x:f t="shared" si="159"/>
        <x:v>0.48880884540719699</x:v>
      </x:c>
    </x:row>
    <x:row r="468">
      <x:c r="A468" s="22" t="str">
        <x:v>EM60</x:v>
      </x:c>
      <x:c r="B468" s="22" t="s">
        <x:v>616</x:v>
      </x:c>
      <x:c r="C468" s="22">
        <x:v>20</x:v>
      </x:c>
      <x:c r="D468" s="22">
        <x:f t="shared" si="152"/>
        <x:v>180</x:v>
      </x:c>
      <x:c r="E468" s="22">
        <x:v>8</x:v>
      </x:c>
      <x:c r="F468" s="22">
        <x:v>22</x:v>
      </x:c>
      <x:c r="G468" s="22">
        <x:v>300</x:v>
      </x:c>
      <x:c r="H468" s="22">
        <x:v>450000</x:v>
      </x:c>
      <x:c r="I468" s="22">
        <x:f t="shared" si="153"/>
        <x:v>4.7348484848484855E-2</x:v>
      </x:c>
      <x:c r="J468" s="22">
        <x:v>0.62777055000000004</x:v>
      </x:c>
      <x:c r="K468" s="22">
        <x:v>3</x:v>
      </x:c>
      <x:c r="L468" s="22">
        <x:f t="shared" si="154"/>
        <x:v>1.04628425E-2</x:v>
      </x:c>
      <x:c r="M468" s="22">
        <x:v>3.7</x:v>
      </x:c>
      <x:c r="N468" s="22">
        <x:v>0</x:v>
      </x:c>
      <x:c r="O468" s="22">
        <x:f t="shared" si="155"/>
        <x:v>0</x:v>
      </x:c>
      <x:c r="P468" s="22">
        <x:f t="shared" si="156"/>
        <x:v>1.04628425E-2</x:v>
      </x:c>
      <x:c r="Q468" s="22">
        <x:v>0</x:v>
      </x:c>
      <x:c r="R468" s="22">
        <x:v>0</x:v>
      </x:c>
      <x:c r="S468" s="22">
        <x:v>0</x:v>
      </x:c>
      <x:c r="T468" s="22">
        <x:v>0</x:v>
      </x:c>
      <x:c r="U468" s="22">
        <x:v>2</x:v>
      </x:c>
      <x:c r="V468" s="22">
        <x:f t="shared" si="157"/>
        <x:v>1.1111111111111112E-2</x:v>
      </x:c>
      <x:c r="W468" s="22">
        <x:v>2</x:v>
      </x:c>
      <x:c r="X468" s="22">
        <x:v>6000</x:v>
      </x:c>
      <x:c r="Y468" s="22">
        <x:v>11</x:v>
      </x:c>
      <x:c r="Z468" s="22">
        <x:v>25</x:v>
      </x:c>
      <x:c r="AA468" s="22">
        <x:f t="shared" si="158"/>
        <x:v>0.24242424242424246</x:v>
      </x:c>
      <x:c r="AB468" s="22">
        <x:v>0.97</x:v>
      </x:c>
      <x:c r="AC468" s="22">
        <x:f t="shared" si="159"/>
        <x:v>0.32097595967406023</x:v>
      </x:c>
    </x:row>
    <x:row r="469">
      <x:c r="A469" s="22" t="str">
        <x:v>EM70</x:v>
      </x:c>
      <x:c r="B469" s="22" t="s">
        <x:v>617</x:v>
      </x:c>
      <x:c r="C469" s="22">
        <x:v>30</x:v>
      </x:c>
      <x:c r="D469" s="22">
        <x:f t="shared" si="152"/>
        <x:v>120</x:v>
      </x:c>
      <x:c r="E469" s="22">
        <x:v>8</x:v>
      </x:c>
      <x:c r="F469" s="22">
        <x:v>22</x:v>
      </x:c>
      <x:c r="G469" s="22">
        <x:v>300</x:v>
      </x:c>
      <x:c r="H469" s="22">
        <x:v>650000</x:v>
      </x:c>
      <x:c r="I469" s="22">
        <x:f t="shared" si="153"/>
        <x:v>0.10258838383838384</x:v>
      </x:c>
      <x:c r="J469" s="22">
        <x:v>0.62777055000000004</x:v>
      </x:c>
      <x:c r="K469" s="22">
        <x:v>5</x:v>
      </x:c>
      <x:c r="L469" s="22">
        <x:f t="shared" si="154"/>
        <x:v>2.6157106250000003E-2</x:v>
      </x:c>
      <x:c r="M469" s="22">
        <x:v>3.7</x:v>
      </x:c>
      <x:c r="N469" s="22">
        <x:v>0</x:v>
      </x:c>
      <x:c r="O469" s="22">
        <x:f t="shared" si="155"/>
        <x:v>0</x:v>
      </x:c>
      <x:c r="P469" s="22">
        <x:f t="shared" si="156"/>
        <x:v>2.6157106250000003E-2</x:v>
      </x:c>
      <x:c r="Q469" s="22">
        <x:v>0</x:v>
      </x:c>
      <x:c r="R469" s="22">
        <x:v>0</x:v>
      </x:c>
      <x:c r="S469" s="22">
        <x:v>0</x:v>
      </x:c>
      <x:c r="T469" s="22">
        <x:v>1</x:v>
      </x:c>
      <x:c r="U469" s="22">
        <x:v>1</x:v>
      </x:c>
      <x:c r="V469" s="22">
        <x:f t="shared" si="157"/>
        <x:v>1.6666666666666666E-2</x:v>
      </x:c>
      <x:c r="W469" s="22">
        <x:v>1</x:v>
      </x:c>
      <x:c r="X469" s="22">
        <x:v>6000</x:v>
      </x:c>
      <x:c r="Y469" s="22">
        <x:v>11</x:v>
      </x:c>
      <x:c r="Z469" s="22">
        <x:v>25</x:v>
      </x:c>
      <x:c r="AA469" s="22">
        <x:f t="shared" si="158"/>
        <x:v>0.18181818181818182</x:v>
      </x:c>
      <x:c r="AB469" s="22">
        <x:v>0.99</x:v>
      </x:c>
      <x:c r="AC469" s="22">
        <x:f t="shared" si="159"/>
        <x:v>0.33053569552851753</x:v>
      </x:c>
    </x:row>
    <x:row r="470">
      <x:c r="A470" s="22"/>
      <x:c r="B470" s="22"/>
      <x:c r="C470" s="22"/>
      <x:c r="D470" s="22"/>
      <x:c r="E470" s="22"/>
      <x:c r="F470" s="22"/>
      <x:c r="G470" s="22"/>
      <x:c r="H470" s="22"/>
      <x:c r="I470" s="22"/>
      <x:c r="J470" s="22"/>
      <x:c r="K470" s="22"/>
      <x:c r="L470" s="22"/>
      <x:c r="M470" s="22"/>
      <x:c r="N470" s="22"/>
      <x:c r="O470" s="22"/>
      <x:c r="P470" s="22"/>
      <x:c r="Q470" s="22"/>
      <x:c r="R470" s="22"/>
      <x:c r="S470" s="22"/>
      <x:c r="T470" s="22"/>
      <x:c r="U470" s="22"/>
      <x:c r="V470" s="22"/>
      <x:c r="W470" s="22"/>
      <x:c r="X470" s="22"/>
      <x:c r="Y470" s="22"/>
      <x:c r="Z470" s="22"/>
      <x:c r="AA470" s="22"/>
      <x:c r="AB470" s="22"/>
      <x:c r="AC470" s="22"/>
    </x:row>
    <x:row r="471">
      <x:c r="A471" s="49" t="str">
        <x:v>动力电池模组/PACK装配工艺</x:v>
      </x:c>
      <x:c r="B471" s="49"/>
      <x:c r="C471" s="49"/>
      <x:c r="D471" s="49"/>
      <x:c r="E471" s="49"/>
      <x:c r="F471" s="49"/>
      <x:c r="G471" s="49"/>
      <x:c r="H471" s="49"/>
      <x:c r="I471" s="49"/>
      <x:c r="J471" s="49"/>
      <x:c r="K471" s="49"/>
      <x:c r="L471" s="49"/>
      <x:c r="M471" s="49"/>
      <x:c r="N471" s="49"/>
      <x:c r="O471" s="49"/>
      <x:c r="P471" s="49"/>
      <x:c r="Q471" s="49"/>
      <x:c r="R471" s="49"/>
      <x:c r="S471" s="49"/>
      <x:c r="T471" s="49"/>
      <x:c r="U471" s="49"/>
      <x:c r="V471" s="49"/>
      <x:c r="W471" s="49"/>
      <x:c r="X471" s="49"/>
      <x:c r="Y471" s="49"/>
      <x:c r="Z471" s="49"/>
      <x:c r="AA471" s="49"/>
      <x:c r="AB471" s="49"/>
      <x:c r="AC471" s="49"/>
    </x:row>
    <x:row r="472">
      <x:c r="A472" s="22" t="str">
        <x:v>BA10</x:v>
      </x:c>
      <x:c r="B472" s="22" t="s">
        <x:v>618</x:v>
      </x:c>
      <x:c r="C472" s="22">
        <x:v>3</x:v>
      </x:c>
      <x:c r="D472" s="22" t="n">
        <x:f t="shared" ref="D472:D478" si="160">IFERROR(60*60/C472,0)</x:f>
        <x:v>1200</x:v>
      </x:c>
      <x:c r="E472" s="22">
        <x:v>8</x:v>
      </x:c>
      <x:c r="F472" s="22">
        <x:v>22</x:v>
      </x:c>
      <x:c r="G472" s="22">
        <x:v>300</x:v>
      </x:c>
      <x:c r="H472" s="22">
        <x:v>1200000</x:v>
      </x:c>
      <x:c r="I472" s="22" t="n">
        <x:f t="shared" ref="I472:I478" si="161">IFERROR(H472/E472/F472/G472/D472,0)</x:f>
        <x:v>0.01893939393939394</x:v>
      </x:c>
      <x:c r="J472" s="22">
        <x:v>0.62777055000000004</x:v>
      </x:c>
      <x:c r="K472" s="22">
        <x:v>8</x:v>
      </x:c>
      <x:c r="L472" s="22" t="n">
        <x:f t="shared" ref="L472:L478" si="162">IFERROR(J472*K472/D472,0)</x:f>
        <x:v>0.004185137</x:v>
      </x:c>
      <x:c r="M472" s="22">
        <x:v>3.7</x:v>
      </x:c>
      <x:c r="N472" s="22">
        <x:v>0</x:v>
      </x:c>
      <x:c r="O472" s="22" t="n">
        <x:f t="shared" ref="O472:O478" si="163">IFERROR(N472*M472/D472,0)</x:f>
        <x:v>0</x:v>
      </x:c>
      <x:c r="P472" s="22" t="n">
        <x:f t="shared" ref="P472:P478" si="164">O472+L472</x:f>
        <x:v>0.004185137</x:v>
      </x:c>
      <x:c r="Q472" s="22">
        <x:v>0</x:v>
      </x:c>
      <x:c r="R472" s="22">
        <x:v>0</x:v>
      </x:c>
      <x:c r="S472" s="22">
        <x:v>0</x:v>
      </x:c>
      <x:c r="T472" s="22">
        <x:v>0</x:v>
      </x:c>
      <x:c r="U472" s="22">
        <x:v>1</x:v>
      </x:c>
      <x:c r="V472" s="22" t="n">
        <x:f t="shared" ref="V472:V478" si="165">IFERROR((Q472+R472+S472+T472+U472)/D472,0)</x:f>
        <x:v>0.0008333333333333334</x:v>
      </x:c>
      <x:c r="W472" s="22">
        <x:v>1</x:v>
      </x:c>
      <x:c r="X472" s="22">
        <x:v>6000</x:v>
      </x:c>
      <x:c r="Y472" s="22">
        <x:v>11</x:v>
      </x:c>
      <x:c r="Z472" s="22">
        <x:v>25</x:v>
      </x:c>
      <x:c r="AA472" s="22" t="n">
        <x:f t="shared" ref="AA472:AA478" si="166">IFERROR((W472*X472)/Y472/Z472/D472,0)</x:f>
        <x:v>0.018181818181818184</x:v>
      </x:c>
      <x:c r="AB472" s="22">
        <x:v>0.995</x:v>
      </x:c>
      <x:c r="AC472" s="22" t="n">
        <x:f t="shared" ref="AC472:AC478" si="167">IFERROR((I472+P472+V472+AA472)/AB472,0)</x:f>
        <x:v>0.042351439652809506</x:v>
      </x:c>
    </x:row>
    <x:row r="473">
      <x:c r="A473" s="22" t="str">
        <x:v>BA20</x:v>
      </x:c>
      <x:c r="B473" s="22" t="s">
        <x:v>619</x:v>
      </x:c>
      <x:c r="C473" s="22">
        <x:v>8</x:v>
      </x:c>
      <x:c r="D473" s="22">
        <x:f t="shared" si="160"/>
        <x:v>450</x:v>
      </x:c>
      <x:c r="E473" s="22">
        <x:v>8</x:v>
      </x:c>
      <x:c r="F473" s="22">
        <x:v>22</x:v>
      </x:c>
      <x:c r="G473" s="22">
        <x:v>300</x:v>
      </x:c>
      <x:c r="H473" s="22">
        <x:v>950000</x:v>
      </x:c>
      <x:c r="I473" s="22">
        <x:f t="shared" si="161"/>
        <x:v>3.9983164983164982E-2</x:v>
      </x:c>
      <x:c r="J473" s="22">
        <x:v>0.62777055000000004</x:v>
      </x:c>
      <x:c r="K473" s="22">
        <x:v>8</x:v>
      </x:c>
      <x:c r="L473" s="22">
        <x:f t="shared" si="162"/>
        <x:v>1.1160365333333333E-2</x:v>
      </x:c>
      <x:c r="M473" s="22">
        <x:v>3.7</x:v>
      </x:c>
      <x:c r="N473" s="22">
        <x:v>0</x:v>
      </x:c>
      <x:c r="O473" s="22">
        <x:f t="shared" si="163"/>
        <x:v>0</x:v>
      </x:c>
      <x:c r="P473" s="22">
        <x:f t="shared" si="164"/>
        <x:v>1.1160365333333333E-2</x:v>
      </x:c>
      <x:c r="Q473" s="22">
        <x:v>0</x:v>
      </x:c>
      <x:c r="R473" s="22">
        <x:v>0</x:v>
      </x:c>
      <x:c r="S473" s="22">
        <x:v>0</x:v>
      </x:c>
      <x:c r="T473" s="22">
        <x:v>1</x:v>
      </x:c>
      <x:c r="U473" s="22">
        <x:v>1</x:v>
      </x:c>
      <x:c r="V473" s="22">
        <x:f t="shared" si="165"/>
        <x:v>4.4444444444444444E-3</x:v>
      </x:c>
      <x:c r="W473" s="22">
        <x:v>2</x:v>
      </x:c>
      <x:c r="X473" s="22">
        <x:v>6000</x:v>
      </x:c>
      <x:c r="Y473" s="22">
        <x:v>11</x:v>
      </x:c>
      <x:c r="Z473" s="22">
        <x:v>25</x:v>
      </x:c>
      <x:c r="AA473" s="22">
        <x:f t="shared" si="166"/>
        <x:v>9.6969696969696983E-2</x:v>
      </x:c>
      <x:c r="AB473" s="22">
        <x:v>0.99</x:v>
      </x:c>
      <x:c r="AC473" s="22">
        <x:f t="shared" si="167"/>
        <x:v>0.15409865831377753</x:v>
      </x:c>
    </x:row>
    <x:row r="474">
      <x:c r="A474" s="22" t="str">
        <x:v>BA30</x:v>
      </x:c>
      <x:c r="B474" s="22" t="s">
        <x:v>620</x:v>
      </x:c>
      <x:c r="C474" s="22">
        <x:v>3</x:v>
      </x:c>
      <x:c r="D474" s="22">
        <x:f t="shared" si="160"/>
        <x:v>1200</x:v>
      </x:c>
      <x:c r="E474" s="22">
        <x:v>8</x:v>
      </x:c>
      <x:c r="F474" s="22">
        <x:v>22</x:v>
      </x:c>
      <x:c r="G474" s="22">
        <x:v>300</x:v>
      </x:c>
      <x:c r="H474" s="22">
        <x:v>850000</x:v>
      </x:c>
      <x:c r="I474" s="22">
        <x:f t="shared" si="161"/>
        <x:v>1.3415404040404044E-2</x:v>
      </x:c>
      <x:c r="J474" s="22">
        <x:v>0.62777055000000004</x:v>
      </x:c>
      <x:c r="K474" s="22">
        <x:v>6</x:v>
      </x:c>
      <x:c r="L474" s="22">
        <x:f t="shared" si="162"/>
        <x:v>3.1388527500000002E-3</x:v>
      </x:c>
      <x:c r="M474" s="22">
        <x:v>3.7</x:v>
      </x:c>
      <x:c r="N474" s="22">
        <x:v>0</x:v>
      </x:c>
      <x:c r="O474" s="22">
        <x:f t="shared" si="163"/>
        <x:v>0</x:v>
      </x:c>
      <x:c r="P474" s="22">
        <x:f t="shared" si="164"/>
        <x:v>3.1388527500000002E-3</x:v>
      </x:c>
      <x:c r="Q474" s="22">
        <x:v>0</x:v>
      </x:c>
      <x:c r="R474" s="22">
        <x:v>0</x:v>
      </x:c>
      <x:c r="S474" s="22">
        <x:v>0</x:v>
      </x:c>
      <x:c r="T474" s="22">
        <x:v>0</x:v>
      </x:c>
      <x:c r="U474" s="22">
        <x:v>1</x:v>
      </x:c>
      <x:c r="V474" s="22">
        <x:f t="shared" si="165"/>
        <x:v>8.3333333333333339E-4</x:v>
      </x:c>
      <x:c r="W474" s="22">
        <x:v>1</x:v>
      </x:c>
      <x:c r="X474" s="22">
        <x:v>6000</x:v>
      </x:c>
      <x:c r="Y474" s="22">
        <x:v>11</x:v>
      </x:c>
      <x:c r="Z474" s="22">
        <x:v>25</x:v>
      </x:c>
      <x:c r="AA474" s="22">
        <x:f t="shared" si="166"/>
        <x:v>1.8181818181818184E-2</x:v>
      </x:c>
      <x:c r="AB474" s="22">
        <x:v>0.99</x:v>
      </x:c>
      <x:c r="AC474" s="22">
        <x:f t="shared" si="167"/>
        <x:v>3.5928695258136932E-2</x:v>
      </x:c>
    </x:row>
    <x:row r="475">
      <x:c r="A475" s="22" t="str">
        <x:v>BA40</x:v>
      </x:c>
      <x:c r="B475" s="22" t="s">
        <x:v>621</x:v>
      </x:c>
      <x:c r="C475" s="22">
        <x:v>4</x:v>
      </x:c>
      <x:c r="D475" s="22">
        <x:f t="shared" si="160"/>
        <x:v>900</x:v>
      </x:c>
      <x:c r="E475" s="22">
        <x:v>10</x:v>
      </x:c>
      <x:c r="F475" s="22">
        <x:v>22</x:v>
      </x:c>
      <x:c r="G475" s="22">
        <x:v>300</x:v>
      </x:c>
      <x:c r="H475" s="22">
        <x:v>2600000</x:v>
      </x:c>
      <x:c r="I475" s="22">
        <x:f t="shared" si="161"/>
        <x:v>4.3771043771043766E-2</x:v>
      </x:c>
      <x:c r="J475" s="22">
        <x:v>0.62777055000000004</x:v>
      </x:c>
      <x:c r="K475" s="22">
        <x:v>20</x:v>
      </x:c>
      <x:c r="L475" s="22">
        <x:f t="shared" si="162"/>
        <x:v>1.3950456666666668E-2</x:v>
      </x:c>
      <x:c r="M475" s="22">
        <x:v>3.7</x:v>
      </x:c>
      <x:c r="N475" s="22">
        <x:v>1</x:v>
      </x:c>
      <x:c r="O475" s="22">
        <x:f t="shared" si="163"/>
        <x:v>4.1111111111111114E-3</x:v>
      </x:c>
      <x:c r="P475" s="22">
        <x:f t="shared" si="164"/>
        <x:v>1.806156777777778E-2</x:v>
      </x:c>
      <x:c r="Q475" s="22">
        <x:v>0</x:v>
      </x:c>
      <x:c r="R475" s="22">
        <x:v>0</x:v>
      </x:c>
      <x:c r="S475" s="22">
        <x:v>0</x:v>
      </x:c>
      <x:c r="T475" s="22">
        <x:v>1</x:v>
      </x:c>
      <x:c r="U475" s="22">
        <x:v>1</x:v>
      </x:c>
      <x:c r="V475" s="22">
        <x:f t="shared" si="165"/>
        <x:v>2.2222222222222222E-3</x:v>
      </x:c>
      <x:c r="W475" s="22">
        <x:v>2</x:v>
      </x:c>
      <x:c r="X475" s="22">
        <x:v>6000</x:v>
      </x:c>
      <x:c r="Y475" s="22">
        <x:v>11</x:v>
      </x:c>
      <x:c r="Z475" s="22">
        <x:v>25</x:v>
      </x:c>
      <x:c r="AA475" s="22">
        <x:f t="shared" si="166"/>
        <x:v>4.8484848484848492E-2</x:v>
      </x:c>
      <x:c r="AB475" s="22">
        <x:v>0.98</x:v>
      </x:c>
      <x:c r="AC475" s="22">
        <x:f t="shared" si="167"/>
        <x:v>0.11483641046519617</x:v>
      </x:c>
    </x:row>
    <x:row r="476">
      <x:c r="A476" s="22" t="str">
        <x:v>BA50</x:v>
      </x:c>
      <x:c r="B476" s="22" t="s">
        <x:v>622</x:v>
      </x:c>
      <x:c r="C476" s="22">
        <x:v>12</x:v>
      </x:c>
      <x:c r="D476" s="22">
        <x:f t="shared" si="160"/>
        <x:v>300</x:v>
      </x:c>
      <x:c r="E476" s="22">
        <x:v>8</x:v>
      </x:c>
      <x:c r="F476" s="22">
        <x:v>22</x:v>
      </x:c>
      <x:c r="G476" s="22">
        <x:v>300</x:v>
      </x:c>
      <x:c r="H476" s="22">
        <x:v>650000</x:v>
      </x:c>
      <x:c r="I476" s="22">
        <x:f t="shared" si="161"/>
        <x:v>4.1035353535353536E-2</x:v>
      </x:c>
      <x:c r="J476" s="22">
        <x:v>0.62777055000000004</x:v>
      </x:c>
      <x:c r="K476" s="22">
        <x:v>5</x:v>
      </x:c>
      <x:c r="L476" s="22">
        <x:f t="shared" si="162"/>
        <x:v>1.0462842500000001E-2</x:v>
      </x:c>
      <x:c r="M476" s="22">
        <x:v>3.7</x:v>
      </x:c>
      <x:c r="N476" s="22">
        <x:v>0</x:v>
      </x:c>
      <x:c r="O476" s="22">
        <x:f t="shared" si="163"/>
        <x:v>0</x:v>
      </x:c>
      <x:c r="P476" s="22">
        <x:f t="shared" si="164"/>
        <x:v>1.0462842500000001E-2</x:v>
      </x:c>
      <x:c r="Q476" s="22">
        <x:v>0</x:v>
      </x:c>
      <x:c r="R476" s="22">
        <x:v>0</x:v>
      </x:c>
      <x:c r="S476" s="22">
        <x:v>0</x:v>
      </x:c>
      <x:c r="T476" s="22">
        <x:v>0</x:v>
      </x:c>
      <x:c r="U476" s="22">
        <x:v>4</x:v>
      </x:c>
      <x:c r="V476" s="22">
        <x:f t="shared" si="165"/>
        <x:v>1.3333333333333334E-2</x:v>
      </x:c>
      <x:c r="W476" s="22">
        <x:v>2</x:v>
      </x:c>
      <x:c r="X476" s="22">
        <x:v>6000</x:v>
      </x:c>
      <x:c r="Y476" s="22">
        <x:v>11</x:v>
      </x:c>
      <x:c r="Z476" s="22">
        <x:v>25</x:v>
      </x:c>
      <x:c r="AA476" s="22">
        <x:f t="shared" si="166"/>
        <x:v>0.14545454545454548</x:v>
      </x:c>
      <x:c r="AB476" s="22">
        <x:v>0.97</x:v>
      </x:c>
      <x:c r="AC476" s="22">
        <x:f t="shared" si="167"/>
        <x:v>0.21678976785900245</x:v>
      </x:c>
    </x:row>
    <x:row r="477">
      <x:c r="A477" s="22" t="str">
        <x:v>BA60</x:v>
      </x:c>
      <x:c r="B477" s="22" t="s">
        <x:v>623</x:v>
      </x:c>
      <x:c r="C477" s="22">
        <x:v>30</x:v>
      </x:c>
      <x:c r="D477" s="22">
        <x:f t="shared" si="160"/>
        <x:v>120</x:v>
      </x:c>
      <x:c r="E477" s="22">
        <x:v>8</x:v>
      </x:c>
      <x:c r="F477" s="22">
        <x:v>22</x:v>
      </x:c>
      <x:c r="G477" s="22">
        <x:v>300</x:v>
      </x:c>
      <x:c r="H477" s="22">
        <x:v>450000</x:v>
      </x:c>
      <x:c r="I477" s="22">
        <x:f t="shared" si="161"/>
        <x:v>7.1022727272727279E-2</x:v>
      </x:c>
      <x:c r="J477" s="22">
        <x:v>0.62777055000000004</x:v>
      </x:c>
      <x:c r="K477" s="22">
        <x:v>3</x:v>
      </x:c>
      <x:c r="L477" s="22">
        <x:f t="shared" si="162"/>
        <x:v>1.569426375E-2</x:v>
      </x:c>
      <x:c r="M477" s="22">
        <x:v>3.7</x:v>
      </x:c>
      <x:c r="N477" s="22">
        <x:v>0</x:v>
      </x:c>
      <x:c r="O477" s="22">
        <x:f t="shared" si="163"/>
        <x:v>0</x:v>
      </x:c>
      <x:c r="P477" s="22">
        <x:f t="shared" si="164"/>
        <x:v>1.569426375E-2</x:v>
      </x:c>
      <x:c r="Q477" s="22">
        <x:v>0</x:v>
      </x:c>
      <x:c r="R477" s="22">
        <x:v>0</x:v>
      </x:c>
      <x:c r="S477" s="22">
        <x:v>0</x:v>
      </x:c>
      <x:c r="T477" s="22">
        <x:v>0</x:v>
      </x:c>
      <x:c r="U477" s="22">
        <x:v>1</x:v>
      </x:c>
      <x:c r="V477" s="22">
        <x:f t="shared" si="165"/>
        <x:v>8.3333333333333332E-3</x:v>
      </x:c>
      <x:c r="W477" s="22">
        <x:v>1</x:v>
      </x:c>
      <x:c r="X477" s="22">
        <x:v>6000</x:v>
      </x:c>
      <x:c r="Y477" s="22">
        <x:v>11</x:v>
      </x:c>
      <x:c r="Z477" s="22">
        <x:v>25</x:v>
      </x:c>
      <x:c r="AA477" s="22">
        <x:f t="shared" si="166"/>
        <x:v>0.18181818181818182</x:v>
      </x:c>
      <x:c r="AB477" s="22">
        <x:v>0.99</x:v>
      </x:c>
      <x:c r="AC477" s="22">
        <x:f t="shared" si="167"/>
        <x:v>0.27966515775176004</x:v>
      </x:c>
    </x:row>
    <x:row r="478">
      <x:c r="A478" s="22" t="str">
        <x:v>BA70</x:v>
      </x:c>
      <x:c r="B478" s="22" t="s">
        <x:v>624</x:v>
      </x:c>
      <x:c r="C478" s="22">
        <x:v>45</x:v>
      </x:c>
      <x:c r="D478" s="22">
        <x:f t="shared" si="160"/>
        <x:v>80</x:v>
      </x:c>
      <x:c r="E478" s="22">
        <x:v>8</x:v>
      </x:c>
      <x:c r="F478" s="22">
        <x:v>22</x:v>
      </x:c>
      <x:c r="G478" s="22">
        <x:v>300</x:v>
      </x:c>
      <x:c r="H478" s="22">
        <x:v>900000</x:v>
      </x:c>
      <x:c r="I478" s="22">
        <x:f t="shared" si="161"/>
        <x:v>0.21306818181818182</x:v>
      </x:c>
      <x:c r="J478" s="22">
        <x:v>0.62777055000000004</x:v>
      </x:c>
      <x:c r="K478" s="22">
        <x:v>6</x:v>
      </x:c>
      <x:c r="L478" s="22">
        <x:f t="shared" si="162"/>
        <x:v>4.7082791249999999E-2</x:v>
      </x:c>
      <x:c r="M478" s="22">
        <x:v>3.7</x:v>
      </x:c>
      <x:c r="N478" s="22">
        <x:v>0</x:v>
      </x:c>
      <x:c r="O478" s="22">
        <x:f t="shared" si="163"/>
        <x:v>0</x:v>
      </x:c>
      <x:c r="P478" s="22">
        <x:f t="shared" si="164"/>
        <x:v>4.7082791249999999E-2</x:v>
      </x:c>
      <x:c r="Q478" s="22">
        <x:v>0</x:v>
      </x:c>
      <x:c r="R478" s="22">
        <x:v>0</x:v>
      </x:c>
      <x:c r="S478" s="22">
        <x:v>0</x:v>
      </x:c>
      <x:c r="T478" s="22">
        <x:v>0</x:v>
      </x:c>
      <x:c r="U478" s="22">
        <x:v>1</x:v>
      </x:c>
      <x:c r="V478" s="22">
        <x:f t="shared" si="165"/>
        <x:v>1.2500000000000001E-2</x:v>
      </x:c>
      <x:c r="W478" s="22">
        <x:v>1</x:v>
      </x:c>
      <x:c r="X478" s="22">
        <x:v>6000</x:v>
      </x:c>
      <x:c r="Y478" s="22">
        <x:v>11</x:v>
      </x:c>
      <x:c r="Z478" s="22">
        <x:v>25</x:v>
      </x:c>
      <x:c r="AA478" s="22">
        <x:f t="shared" si="166"/>
        <x:v>0.27272727272727276</x:v>
      </x:c>
      <x:c r="AB478" s="22">
        <x:v>0.995</x:v>
      </x:c>
      <x:c r="AC478" s="22">
        <x:f t="shared" si="167"/>
        <x:v>0.54811883999543176</x:v>
      </x:c>
    </x:row>
    <x:row r="480">
      <x:c r="A480" t="str">
        <x:v>汇流排专用工序</x:v>
      </x:c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  <x:c r="AA480"/>
      <x:c r="AB480"/>
      <x:c r="AC480"/>
    </x:row>
    <x:row r="481">
      <x:c r="A481" t="str">
        <x:v>BB05</x:v>
      </x:c>
      <x:c r="B481" t="str">
        <x:v>铜排剪切/落料</x:v>
      </x:c>
      <x:c r="C481" t="n">
        <x:v>12</x:v>
      </x:c>
      <x:c r="D481" t="n">
        <x:f>IF(C481="","",IFERROR(60*60/C481,0))</x:f>
        <x:v>300</x:v>
      </x:c>
      <x:c r="E481" t="n">
        <x:v>8</x:v>
      </x:c>
      <x:c r="F481" t="n">
        <x:v>22</x:v>
      </x:c>
      <x:c r="G481" t="n">
        <x:v>300</x:v>
      </x:c>
      <x:c r="H481" t="n">
        <x:v>350000</x:v>
      </x:c>
      <x:c r="I481" t="n">
        <x:f>IF(C481="","",IFERROR(H481/E481/F481/G481/D481,0))</x:f>
        <x:v>0.022095959595959596</x:v>
      </x:c>
      <x:c r="J481" t="n">
        <x:v>0.62777055</x:v>
      </x:c>
      <x:c r="K481" t="n">
        <x:v>8</x:v>
      </x:c>
      <x:c r="L481" t="n">
        <x:f>IF(C481="","",IFERROR(J481*K481/D481,0))</x:f>
        <x:v>0.016740548</x:v>
      </x:c>
      <x:c r="M481" t="n">
        <x:v>3.7</x:v>
      </x:c>
      <x:c r="N481" t="n">
        <x:v>0</x:v>
      </x:c>
      <x:c r="O481" t="n">
        <x:f>IF(C481="","",IFERROR(M481*N481/D481,0))</x:f>
        <x:v>0</x:v>
      </x:c>
      <x:c r="P481" t="n">
        <x:f>IF(C481="","",L481+O481)</x:f>
        <x:v>0.016740548</x:v>
      </x:c>
      <x:c r="Q481" t="n">
        <x:v>0</x:v>
      </x:c>
      <x:c r="R481" t="n">
        <x:v>0</x:v>
      </x:c>
      <x:c r="S481" t="n">
        <x:v>0</x:v>
      </x:c>
      <x:c r="T481" t="n">
        <x:v>3</x:v>
      </x:c>
      <x:c r="U481" t="n">
        <x:v>0</x:v>
      </x:c>
      <x:c r="V481" t="n">
        <x:v>0</x:v>
      </x:c>
      <x:c r="W481" t="n">
        <x:v>1</x:v>
      </x:c>
      <x:c r="X481" t="n">
        <x:v>6000</x:v>
      </x:c>
      <x:c r="Y481" t="n">
        <x:v>11</x:v>
      </x:c>
      <x:c r="Z481" t="n">
        <x:v>25</x:v>
      </x:c>
      <x:c r="AA481" t="n">
        <x:f>IF(C481="","",IFERROR(W481*X481/Y481/Z481/D481,0))</x:f>
        <x:v>0.07272727272727274</x:v>
      </x:c>
      <x:c r="AB481" t="n">
        <x:v>0.985</x:v>
      </x:c>
      <x:c r="AC481" t="n">
        <x:f>IF(C481="","",IFERROR((I481+P481+(Q481+R481+S481+T481+U481+V481)/D481+AA481)/AB481,0))</x:f>
        <x:v>0.1234150054042968</x:v>
      </x:c>
    </x:row>
    <x:row r="482">
      <x:c r="A482" t="str">
        <x:v>BB10</x:v>
      </x:c>
      <x:c r="B482" t="str">
        <x:v>铜排绝缘挤塑</x:v>
      </x:c>
      <x:c r="C482" t="n">
        <x:v>3</x:v>
      </x:c>
      <x:c r="D482" t="n">
        <x:f>IF(C482="","",IFERROR(60*60/C482,0))</x:f>
        <x:v>1200</x:v>
      </x:c>
      <x:c r="E482" t="n">
        <x:v>8</x:v>
      </x:c>
      <x:c r="F482" t="n">
        <x:v>22</x:v>
      </x:c>
      <x:c r="G482" t="n">
        <x:v>300</x:v>
      </x:c>
      <x:c r="H482" t="n">
        <x:v>2200000</x:v>
      </x:c>
      <x:c r="I482" t="n">
        <x:f>IF(C482="","",IFERROR(H482/E482/F482/G482/D482,0))</x:f>
        <x:v>0.03472222222222222</x:v>
      </x:c>
      <x:c r="J482" t="n">
        <x:v>0.62777055</x:v>
      </x:c>
      <x:c r="K482" t="n">
        <x:v>70</x:v>
      </x:c>
      <x:c r="L482" t="n">
        <x:f>IF(C482="","",IFERROR(J482*K482/D482,0))</x:f>
        <x:v>0.03661994875</x:v>
      </x:c>
      <x:c r="M482" t="n">
        <x:v>3.7</x:v>
      </x:c>
      <x:c r="N482" t="n">
        <x:v>0</x:v>
      </x:c>
      <x:c r="O482" t="n">
        <x:f>IF(C482="","",IFERROR(M482*N482/D482,0))</x:f>
        <x:v>0</x:v>
      </x:c>
      <x:c r="P482" t="n">
        <x:f>IF(C482="","",L482+O482)</x:f>
        <x:v>0.03661994875</x:v>
      </x:c>
      <x:c r="Q482" t="n">
        <x:v>0</x:v>
      </x:c>
      <x:c r="R482" t="n">
        <x:v>0</x:v>
      </x:c>
      <x:c r="S482" t="n">
        <x:v>0</x:v>
      </x:c>
      <x:c r="T482" t="n">
        <x:v>0</x:v>
      </x:c>
      <x:c r="U482" t="n">
        <x:v>1</x:v>
      </x:c>
      <x:c r="V482" t="n">
        <x:v>0</x:v>
      </x:c>
      <x:c r="W482" t="n">
        <x:v>2</x:v>
      </x:c>
      <x:c r="X482" t="n">
        <x:v>6000</x:v>
      </x:c>
      <x:c r="Y482" t="n">
        <x:v>11</x:v>
      </x:c>
      <x:c r="Z482" t="n">
        <x:v>25</x:v>
      </x:c>
      <x:c r="AA482" t="n">
        <x:f>IF(C482="","",IFERROR(W482*X482/Y482/Z482/D482,0))</x:f>
        <x:v>0.03636363636363637</x:v>
      </x:c>
      <x:c r="AB482" t="n">
        <x:v>0.98</x:v>
      </x:c>
      <x:c r="AC482" t="n">
        <x:f>IF(C482="","",IFERROR((I482+P482+(Q482+R482+S482+T482+U482+V482)/D482+AA482)/AB482,0))</x:f>
        <x:v>0.11075422517264483</x:v>
      </x:c>
    </x:row>
    <x:row r="483">
      <x:c r="A483" t="str">
        <x:v>BB20</x:v>
      </x:c>
      <x:c r="B483" t="str">
        <x:v>铜排拉弯/滚弯</x:v>
      </x:c>
      <x:c r="C483" t="n">
        <x:v>20</x:v>
      </x:c>
      <x:c r="D483" t="n">
        <x:f>IF(C483="","",IFERROR(60*60/C483,0))</x:f>
        <x:v>180</x:v>
      </x:c>
      <x:c r="E483" t="n">
        <x:v>8</x:v>
      </x:c>
      <x:c r="F483" t="n">
        <x:v>22</x:v>
      </x:c>
      <x:c r="G483" t="n">
        <x:v>300</x:v>
      </x:c>
      <x:c r="H483" t="n">
        <x:v>800000</x:v>
      </x:c>
      <x:c r="I483" t="n">
        <x:f>IF(C483="","",IFERROR(H483/E483/F483/G483/D483,0))</x:f>
        <x:v>0.08417508417508417</x:v>
      </x:c>
      <x:c r="J483" t="n">
        <x:v>0.62777055</x:v>
      </x:c>
      <x:c r="K483" t="n">
        <x:v>12</x:v>
      </x:c>
      <x:c r="L483" t="n">
        <x:f>IF(C483="","",IFERROR(J483*K483/D483,0))</x:f>
        <x:v>0.04185137</x:v>
      </x:c>
      <x:c r="M483" t="n">
        <x:v>3.7</x:v>
      </x:c>
      <x:c r="N483" t="n">
        <x:v>0</x:v>
      </x:c>
      <x:c r="O483" t="n">
        <x:f>IF(C483="","",IFERROR(M483*N483/D483,0))</x:f>
        <x:v>0</x:v>
      </x:c>
      <x:c r="P483" t="n">
        <x:f>IF(C483="","",L483+O483)</x:f>
        <x:v>0.04185137</x:v>
      </x:c>
      <x:c r="Q483" t="n">
        <x:v>0</x:v>
      </x:c>
      <x:c r="R483" t="n">
        <x:v>0</x:v>
      </x:c>
      <x:c r="S483" t="n">
        <x:v>0</x:v>
      </x:c>
      <x:c r="T483" t="n">
        <x:v>3</x:v>
      </x:c>
      <x:c r="U483" t="n">
        <x:v>0</x:v>
      </x:c>
      <x:c r="V483" t="n">
        <x:v>0</x:v>
      </x:c>
      <x:c r="W483" t="n">
        <x:v>1</x:v>
      </x:c>
      <x:c r="X483" t="n">
        <x:v>6000</x:v>
      </x:c>
      <x:c r="Y483" t="n">
        <x:v>11</x:v>
      </x:c>
      <x:c r="Z483" t="n">
        <x:v>25</x:v>
      </x:c>
      <x:c r="AA483" t="n">
        <x:f>IF(C483="","",IFERROR(W483*X483/Y483/Z483/D483,0))</x:f>
        <x:v>0.12121212121212123</x:v>
      </x:c>
      <x:c r="AB483" t="n">
        <x:v>0.98</x:v>
      </x:c>
      <x:c r="AC483" t="n">
        <x:f>IF(C483="","",IFERROR((I483+P483+(Q483+R483+S483+T483+U483+V483)/D483+AA483)/AB483,0))</x:f>
        <x:v>0.26929106332027763</x:v>
      </x:c>
    </x:row>
    <x:row r="484">
      <x:c r="A484" t="str">
        <x:v>BB30</x:v>
      </x:c>
      <x:c r="B484" t="str">
        <x:v>铜排打磨</x:v>
      </x:c>
      <x:c r="C484" t="n">
        <x:v>30</x:v>
      </x:c>
      <x:c r="D484" t="n">
        <x:f>IF(C484="","",IFERROR(60*60/C484,0))</x:f>
        <x:v>120</x:v>
      </x:c>
      <x:c r="E484" t="n">
        <x:v>8</x:v>
      </x:c>
      <x:c r="F484" t="n">
        <x:v>22</x:v>
      </x:c>
      <x:c r="G484" t="n">
        <x:v>300</x:v>
      </x:c>
      <x:c r="H484" t="n">
        <x:v>80000</x:v>
      </x:c>
      <x:c r="I484" t="n">
        <x:f>IF(C484="","",IFERROR(H484/E484/F484/G484/D484,0))</x:f>
        <x:v>0.012626262626262626</x:v>
      </x:c>
      <x:c r="J484" t="n">
        <x:v>0.62777055</x:v>
      </x:c>
      <x:c r="K484" t="n">
        <x:v>3</x:v>
      </x:c>
      <x:c r="L484" t="n">
        <x:f>IF(C484="","",IFERROR(J484*K484/D484,0))</x:f>
        <x:v>0.01569426375</x:v>
      </x:c>
      <x:c r="M484" t="n">
        <x:v>3.7</x:v>
      </x:c>
      <x:c r="N484" t="n">
        <x:v>0</x:v>
      </x:c>
      <x:c r="O484" t="n">
        <x:f>IF(C484="","",IFERROR(M484*N484/D484,0))</x:f>
        <x:v>0</x:v>
      </x:c>
      <x:c r="P484" t="n">
        <x:f>IF(C484="","",L484+O484)</x:f>
        <x:v>0.01569426375</x:v>
      </x:c>
      <x:c r="Q484" t="n">
        <x:v>0</x:v>
      </x:c>
      <x:c r="R484" t="n">
        <x:v>0</x:v>
      </x:c>
      <x:c r="S484" t="n">
        <x:v>0</x:v>
      </x:c>
      <x:c r="T484" t="n">
        <x:v>2</x:v>
      </x:c>
      <x:c r="U484" t="n">
        <x:v>0</x:v>
      </x:c>
      <x:c r="V484" t="n">
        <x:v>0</x:v>
      </x:c>
      <x:c r="W484" t="n">
        <x:v>1</x:v>
      </x:c>
      <x:c r="X484" t="n">
        <x:v>6000</x:v>
      </x:c>
      <x:c r="Y484" t="n">
        <x:v>11</x:v>
      </x:c>
      <x:c r="Z484" t="n">
        <x:v>25</x:v>
      </x:c>
      <x:c r="AA484" t="n">
        <x:f>IF(C484="","",IFERROR(W484*X484/Y484/Z484/D484,0))</x:f>
        <x:v>0.18181818181818182</x:v>
      </x:c>
      <x:c r="AB484" t="n">
        <x:v>0.99</x:v>
      </x:c>
      <x:c r="AC484" t="n">
        <x:f>IF(C484="","",IFERROR((I484+P484+(Q484+R484+S484+T484+U484+V484)/D484+AA484)/AB484,0))</x:f>
        <x:v>0.2290963382435466</x:v>
      </x:c>
    </x:row>
    <x:row r="485">
      <x:c r="A485" t="str">
        <x:v>BB40</x:v>
      </x:c>
      <x:c r="B485" t="str">
        <x:v>铜铝复合排冲压</x:v>
      </x:c>
      <x:c r="C485" t="n">
        <x:v>5</x:v>
      </x:c>
      <x:c r="D485" t="n">
        <x:f>IF(C485="","",IFERROR(60*60/C485,0))</x:f>
        <x:v>720</x:v>
      </x:c>
      <x:c r="E485" t="n">
        <x:v>8</x:v>
      </x:c>
      <x:c r="F485" t="n">
        <x:v>22</x:v>
      </x:c>
      <x:c r="G485" t="n">
        <x:v>300</x:v>
      </x:c>
      <x:c r="H485" t="n">
        <x:v>900000</x:v>
      </x:c>
      <x:c r="I485" t="n">
        <x:f>IF(C485="","",IFERROR(H485/E485/F485/G485/D485,0))</x:f>
        <x:v>0.023674242424242428</x:v>
      </x:c>
      <x:c r="J485" t="n">
        <x:v>0.62777055</x:v>
      </x:c>
      <x:c r="K485" t="n">
        <x:v>22</x:v>
      </x:c>
      <x:c r="L485" t="n">
        <x:f>IF(C485="","",IFERROR(J485*K485/D485,0))</x:f>
        <x:v>0.01918187791666667</x:v>
      </x:c>
      <x:c r="M485" t="n">
        <x:v>3.7</x:v>
      </x:c>
      <x:c r="N485" t="n">
        <x:v>0</x:v>
      </x:c>
      <x:c r="O485" t="n">
        <x:f>IF(C485="","",IFERROR(M485*N485/D485,0))</x:f>
        <x:v>0</x:v>
      </x:c>
      <x:c r="P485" t="n">
        <x:f>IF(C485="","",L485+O485)</x:f>
        <x:v>0.01918187791666667</x:v>
      </x:c>
      <x:c r="Q485" t="n">
        <x:v>0</x:v>
      </x:c>
      <x:c r="R485" t="n">
        <x:v>0</x:v>
      </x:c>
      <x:c r="S485" t="n">
        <x:v>0</x:v>
      </x:c>
      <x:c r="T485" t="n">
        <x:v>5</x:v>
      </x:c>
      <x:c r="U485" t="n">
        <x:v>0</x:v>
      </x:c>
      <x:c r="V485" t="n">
        <x:v>0</x:v>
      </x:c>
      <x:c r="W485" t="n">
        <x:v>1</x:v>
      </x:c>
      <x:c r="X485" t="n">
        <x:v>6000</x:v>
      </x:c>
      <x:c r="Y485" t="n">
        <x:v>11</x:v>
      </x:c>
      <x:c r="Z485" t="n">
        <x:v>25</x:v>
      </x:c>
      <x:c r="AA485" t="n">
        <x:f>IF(C485="","",IFERROR(W485*X485/Y485/Z485/D485,0))</x:f>
        <x:v>0.030303030303030307</x:v>
      </x:c>
      <x:c r="AB485" t="n">
        <x:v>0.98</x:v>
      </x:c>
      <x:c r="AC485" t="n">
        <x:f>IF(C485="","",IFERROR((I485+P485+(Q485+R485+S485+T485+U485+V485)/D485+AA485)/AB485,0))</x:f>
        <x:v>0.08173836233508555</x:v>
      </x:c>
    </x:row>
    <x:row r="486">
      <x:c r="A486" t="str">
        <x:v>BB50</x:v>
      </x:c>
      <x:c r="B486" t="str">
        <x:v>铜铝复合排折弯</x:v>
      </x:c>
      <x:c r="C486" t="n">
        <x:v>15</x:v>
      </x:c>
      <x:c r="D486" t="n">
        <x:f>IF(C486="","",IFERROR(60*60/C486,0))</x:f>
        <x:v>240</x:v>
      </x:c>
      <x:c r="E486" t="n">
        <x:v>8</x:v>
      </x:c>
      <x:c r="F486" t="n">
        <x:v>22</x:v>
      </x:c>
      <x:c r="G486" t="n">
        <x:v>300</x:v>
      </x:c>
      <x:c r="H486" t="n">
        <x:v>650000</x:v>
      </x:c>
      <x:c r="I486" t="n">
        <x:f>IF(C486="","",IFERROR(H486/E486/F486/G486/D486,0))</x:f>
        <x:v>0.05129419191919192</x:v>
      </x:c>
      <x:c r="J486" t="n">
        <x:v>0.62777055</x:v>
      </x:c>
      <x:c r="K486" t="n">
        <x:v>8</x:v>
      </x:c>
      <x:c r="L486" t="n">
        <x:f>IF(C486="","",IFERROR(J486*K486/D486,0))</x:f>
        <x:v>0.020925685000000003</x:v>
      </x:c>
      <x:c r="M486" t="n">
        <x:v>3.7</x:v>
      </x:c>
      <x:c r="N486" t="n">
        <x:v>0</x:v>
      </x:c>
      <x:c r="O486" t="n">
        <x:f>IF(C486="","",IFERROR(M486*N486/D486,0))</x:f>
        <x:v>0</x:v>
      </x:c>
      <x:c r="P486" t="n">
        <x:f>IF(C486="","",L486+O486)</x:f>
        <x:v>0.020925685000000003</x:v>
      </x:c>
      <x:c r="Q486" t="n">
        <x:v>0</x:v>
      </x:c>
      <x:c r="R486" t="n">
        <x:v>0</x:v>
      </x:c>
      <x:c r="S486" t="n">
        <x:v>0</x:v>
      </x:c>
      <x:c r="T486" t="n">
        <x:v>3</x:v>
      </x:c>
      <x:c r="U486" t="n">
        <x:v>0</x:v>
      </x:c>
      <x:c r="V486" t="n">
        <x:v>0</x:v>
      </x:c>
      <x:c r="W486" t="n">
        <x:v>1</x:v>
      </x:c>
      <x:c r="X486" t="n">
        <x:v>6000</x:v>
      </x:c>
      <x:c r="Y486" t="n">
        <x:v>11</x:v>
      </x:c>
      <x:c r="Z486" t="n">
        <x:v>25</x:v>
      </x:c>
      <x:c r="AA486" t="n">
        <x:f>IF(C486="","",IFERROR(W486*X486/Y486/Z486/D486,0))</x:f>
        <x:v>0.09090909090909091</x:v>
      </x:c>
      <x:c r="AB486" t="n">
        <x:v>0.98</x:v>
      </x:c>
      <x:c r="AC486" t="n">
        <x:f>IF(C486="","",IFERROR((I486+P486+(Q486+R486+S486+T486+U486+V486)/D486+AA486)/AB486,0))</x:f>
        <x:v>0.17921323247783963</x:v>
      </x:c>
    </x:row>
    <x:row r="487">
      <x:c r="A487" t="str">
        <x:v>BB60</x:v>
      </x:c>
      <x:c r="B487" t="str">
        <x:v>汇流排压铆/螺母铆接</x:v>
      </x:c>
      <x:c r="C487" t="n">
        <x:v>8</x:v>
      </x:c>
      <x:c r="D487" t="n">
        <x:f>IF(C487="","",IFERROR(60*60/C487,0))</x:f>
        <x:v>450</x:v>
      </x:c>
      <x:c r="E487" t="n">
        <x:v>8</x:v>
      </x:c>
      <x:c r="F487" t="n">
        <x:v>22</x:v>
      </x:c>
      <x:c r="G487" t="n">
        <x:v>300</x:v>
      </x:c>
      <x:c r="H487" t="n">
        <x:v>180000</x:v>
      </x:c>
      <x:c r="I487" t="n">
        <x:f>IF(C487="","",IFERROR(H487/E487/F487/G487/D487,0))</x:f>
        <x:v>0.007575757575757576</x:v>
      </x:c>
      <x:c r="J487" t="n">
        <x:v>0.62777055</x:v>
      </x:c>
      <x:c r="K487" t="n">
        <x:v>2</x:v>
      </x:c>
      <x:c r="L487" t="n">
        <x:f>IF(C487="","",IFERROR(J487*K487/D487,0))</x:f>
        <x:v>0.0027900913333333333</x:v>
      </x:c>
      <x:c r="M487" t="n">
        <x:v>3.7</x:v>
      </x:c>
      <x:c r="N487" t="n">
        <x:v>0</x:v>
      </x:c>
      <x:c r="O487" t="n">
        <x:f>IF(C487="","",IFERROR(M487*N487/D487,0))</x:f>
        <x:v>0</x:v>
      </x:c>
      <x:c r="P487" t="n">
        <x:f>IF(C487="","",L487+O487)</x:f>
        <x:v>0.0027900913333333333</x:v>
      </x:c>
      <x:c r="Q487" t="n">
        <x:v>0</x:v>
      </x:c>
      <x:c r="R487" t="n">
        <x:v>0</x:v>
      </x:c>
      <x:c r="S487" t="n">
        <x:v>0</x:v>
      </x:c>
      <x:c r="T487" t="n">
        <x:v>0</x:v>
      </x:c>
      <x:c r="U487" t="n">
        <x:v>1</x:v>
      </x:c>
      <x:c r="V487" t="n">
        <x:v>0</x:v>
      </x:c>
      <x:c r="W487" t="n">
        <x:v>1</x:v>
      </x:c>
      <x:c r="X487" t="n">
        <x:v>6000</x:v>
      </x:c>
      <x:c r="Y487" t="n">
        <x:v>11</x:v>
      </x:c>
      <x:c r="Z487" t="n">
        <x:v>25</x:v>
      </x:c>
      <x:c r="AA487" t="n">
        <x:f>IF(C487="","",IFERROR(W487*X487/Y487/Z487/D487,0))</x:f>
        <x:v>0.04848484848484849</x:v>
      </x:c>
      <x:c r="AB487" t="n">
        <x:v>0.99</x:v>
      </x:c>
      <x:c r="AC487" t="n">
        <x:f>IF(C487="","",IFERROR((I487+P487+(Q487+R487+S487+T487+U487+V487)/D487+AA487)/AB487,0))</x:f>
        <x:v>0.06168981779410265</x:v>
      </x:c>
    </x:row>
    <x:row r="488">
      <x:c r="A488" t="str">
        <x:v>BB70</x:v>
      </x:c>
      <x:c r="B488" t="str">
        <x:v>汇流排激光焊接</x:v>
      </x:c>
      <x:c r="C488" t="n">
        <x:v>8</x:v>
      </x:c>
      <x:c r="D488" t="n">
        <x:f>IF(C488="","",IFERROR(60*60/C488,0))</x:f>
        <x:v>450</x:v>
      </x:c>
      <x:c r="E488" t="n">
        <x:v>8</x:v>
      </x:c>
      <x:c r="F488" t="n">
        <x:v>22</x:v>
      </x:c>
      <x:c r="G488" t="n">
        <x:v>300</x:v>
      </x:c>
      <x:c r="H488" t="n">
        <x:v>1800000</x:v>
      </x:c>
      <x:c r="I488" t="n">
        <x:f>IF(C488="","",IFERROR(H488/E488/F488/G488/D488,0))</x:f>
        <x:v>0.07575757575757576</x:v>
      </x:c>
      <x:c r="J488" t="n">
        <x:v>0.62777055</x:v>
      </x:c>
      <x:c r="K488" t="n">
        <x:v>15</x:v>
      </x:c>
      <x:c r="L488" t="n">
        <x:f>IF(C488="","",IFERROR(J488*K488/D488,0))</x:f>
        <x:v>0.020925685000000003</x:v>
      </x:c>
      <x:c r="M488" t="n">
        <x:v>3.7</x:v>
      </x:c>
      <x:c r="N488" t="n">
        <x:v>1</x:v>
      </x:c>
      <x:c r="O488" t="n">
        <x:f>IF(C488="","",IFERROR(M488*N488/D488,0))</x:f>
        <x:v>0.008222222222222223</x:v>
      </x:c>
      <x:c r="P488" t="n">
        <x:f>IF(C488="","",L488+O488)</x:f>
        <x:v>0.029147907222222227</x:v>
      </x:c>
      <x:c r="Q488" t="n">
        <x:v>0</x:v>
      </x:c>
      <x:c r="R488" t="n">
        <x:v>0</x:v>
      </x:c>
      <x:c r="S488" t="n">
        <x:v>0</x:v>
      </x:c>
      <x:c r="T488" t="n">
        <x:v>1</x:v>
      </x:c>
      <x:c r="U488" t="n">
        <x:v>0</x:v>
      </x:c>
      <x:c r="V488" t="n">
        <x:v>0</x:v>
      </x:c>
      <x:c r="W488" t="n">
        <x:v>2</x:v>
      </x:c>
      <x:c r="X488" t="n">
        <x:v>6000</x:v>
      </x:c>
      <x:c r="Y488" t="n">
        <x:v>11</x:v>
      </x:c>
      <x:c r="Z488" t="n">
        <x:v>25</x:v>
      </x:c>
      <x:c r="AA488" t="n">
        <x:f>IF(C488="","",IFERROR(W488*X488/Y488/Z488/D488,0))</x:f>
        <x:v>0.09696969696969698</x:v>
      </x:c>
      <x:c r="AB488" t="n">
        <x:v>0.98</x:v>
      </x:c>
      <x:c r="AC488" t="n">
        <x:f>IF(C488="","",IFERROR((I488+P488+(Q488+R488+S488+T488+U488+V488)/D488+AA488)/AB488,0))</x:f>
        <x:v>0.20826265527726243</x:v>
      </x:c>
    </x:row>
    <x:row r="489">
      <x:c r="A489" t="str">
        <x:v>BB80</x:v>
      </x:c>
      <x:c r="B489" t="str">
        <x:v>焊后清理/表面后处理</x:v>
      </x:c>
      <x:c r="C489" t="n">
        <x:v>20</x:v>
      </x:c>
      <x:c r="D489" t="n">
        <x:f>IF(C489="","",IFERROR(60*60/C489,0))</x:f>
        <x:v>180</x:v>
      </x:c>
      <x:c r="E489" t="n">
        <x:v>8</x:v>
      </x:c>
      <x:c r="F489" t="n">
        <x:v>22</x:v>
      </x:c>
      <x:c r="G489" t="n">
        <x:v>300</x:v>
      </x:c>
      <x:c r="H489" t="n">
        <x:v>180000</x:v>
      </x:c>
      <x:c r="I489" t="n">
        <x:f>IF(C489="","",IFERROR(H489/E489/F489/G489/D489,0))</x:f>
        <x:v>0.01893939393939394</x:v>
      </x:c>
      <x:c r="J489" t="n">
        <x:v>0.62777055</x:v>
      </x:c>
      <x:c r="K489" t="n">
        <x:v>5</x:v>
      </x:c>
      <x:c r="L489" t="n">
        <x:f>IF(C489="","",IFERROR(J489*K489/D489,0))</x:f>
        <x:v>0.017438070833333336</x:v>
      </x:c>
      <x:c r="M489" t="n">
        <x:v>3.7</x:v>
      </x:c>
      <x:c r="N489" t="n">
        <x:v>0</x:v>
      </x:c>
      <x:c r="O489" t="n">
        <x:f>IF(C489="","",IFERROR(M489*N489/D489,0))</x:f>
        <x:v>0</x:v>
      </x:c>
      <x:c r="P489" t="n">
        <x:f>IF(C489="","",L489+O489)</x:f>
        <x:v>0.017438070833333336</x:v>
      </x:c>
      <x:c r="Q489" t="n">
        <x:v>0</x:v>
      </x:c>
      <x:c r="R489" t="n">
        <x:v>0</x:v>
      </x:c>
      <x:c r="S489" t="n">
        <x:v>0</x:v>
      </x:c>
      <x:c r="T489" t="n">
        <x:v>0</x:v>
      </x:c>
      <x:c r="U489" t="n">
        <x:v>2</x:v>
      </x:c>
      <x:c r="V489" t="n">
        <x:v>0</x:v>
      </x:c>
      <x:c r="W489" t="n">
        <x:v>1</x:v>
      </x:c>
      <x:c r="X489" t="n">
        <x:v>6000</x:v>
      </x:c>
      <x:c r="Y489" t="n">
        <x:v>11</x:v>
      </x:c>
      <x:c r="Z489" t="n">
        <x:v>25</x:v>
      </x:c>
      <x:c r="AA489" t="n">
        <x:f>IF(C489="","",IFERROR(W489*X489/Y489/Z489/D489,0))</x:f>
        <x:v>0.12121212121212123</x:v>
      </x:c>
      <x:c r="AB489" t="n">
        <x:v>0.99</x:v>
      </x:c>
      <x:c r="AC489" t="n">
        <x:f>IF(C489="","",IFERROR((I489+P489+(Q489+R489+S489+T489+U489+V489)/D489+AA489)/AB489,0))</x:f>
        <x:v>0.17040474454137336</x:v>
      </x:c>
    </x:row>
    <x:row r="490">
      <x:c r="A490" t="str">
        <x:v>BB90</x:v>
      </x:c>
      <x:c r="B490" t="str">
        <x:v>贴泡棉/缠胶带/组装</x:v>
      </x:c>
      <x:c r="C490" t="n">
        <x:v>25</x:v>
      </x:c>
      <x:c r="D490" t="n">
        <x:f>IF(C490="","",IFERROR(60*60/C490,0))</x:f>
        <x:v>144</x:v>
      </x:c>
      <x:c r="E490" t="n">
        <x:v>8</x:v>
      </x:c>
      <x:c r="F490" t="n">
        <x:v>22</x:v>
      </x:c>
      <x:c r="G490" t="n">
        <x:v>300</x:v>
      </x:c>
      <x:c r="H490" t="n">
        <x:v>20000</x:v>
      </x:c>
      <x:c r="I490" t="n">
        <x:f>IF(C490="","",IFERROR(H490/E490/F490/G490/D490,0))</x:f>
        <x:v>0.0026304713804713806</x:v>
      </x:c>
      <x:c r="J490" t="n">
        <x:v>0.62777055</x:v>
      </x:c>
      <x:c r="K490" t="n">
        <x:v>0.2</x:v>
      </x:c>
      <x:c r="L490" t="n">
        <x:f>IF(C490="","",IFERROR(J490*K490/D490,0))</x:f>
        <x:v>0.0008719035416666669</x:v>
      </x:c>
      <x:c r="M490" t="n">
        <x:v>3.7</x:v>
      </x:c>
      <x:c r="N490" t="n">
        <x:v>0</x:v>
      </x:c>
      <x:c r="O490" t="n">
        <x:f>IF(C490="","",IFERROR(M490*N490/D490,0))</x:f>
        <x:v>0</x:v>
      </x:c>
      <x:c r="P490" t="n">
        <x:f>IF(C490="","",L490+O490)</x:f>
        <x:v>0.0008719035416666669</x:v>
      </x:c>
      <x:c r="Q490" t="n">
        <x:v>0</x:v>
      </x:c>
      <x:c r="R490" t="n">
        <x:v>0</x:v>
      </x:c>
      <x:c r="S490" t="n">
        <x:v>0</x:v>
      </x:c>
      <x:c r="T490" t="n">
        <x:v>0</x:v>
      </x:c>
      <x:c r="U490" t="n">
        <x:v>1</x:v>
      </x:c>
      <x:c r="V490" t="n">
        <x:v>0</x:v>
      </x:c>
      <x:c r="W490" t="n">
        <x:v>1</x:v>
      </x:c>
      <x:c r="X490" t="n">
        <x:v>6000</x:v>
      </x:c>
      <x:c r="Y490" t="n">
        <x:v>11</x:v>
      </x:c>
      <x:c r="Z490" t="n">
        <x:v>25</x:v>
      </x:c>
      <x:c r="AA490" t="n">
        <x:f>IF(C490="","",IFERROR(W490*X490/Y490/Z490/D490,0))</x:f>
        <x:v>0.15151515151515152</x:v>
      </x:c>
      <x:c r="AB490" t="n">
        <x:v>0.995</x:v>
      </x:c>
      <x:c r="AC490" t="n">
        <x:f>IF(C490="","",IFERROR((I490+P490+(Q490+R490+S490+T490+U490+V490)/D490+AA490)/AB490,0))</x:f>
        <x:v>0.16277585013239598</x:v>
      </x:c>
    </x:row>
    <x:row r="491">
      <x:c r="A491" t="str">
        <x:v>BB100</x:v>
      </x:c>
      <x:c r="B491" t="str">
        <x:v>汇流排尺寸/外观全检</x:v>
      </x:c>
      <x:c r="C491" t="n">
        <x:v>20</x:v>
      </x:c>
      <x:c r="D491" t="n">
        <x:f>IF(C491="","",IFERROR(60*60/C491,0))</x:f>
        <x:v>180</x:v>
      </x:c>
      <x:c r="E491" t="n">
        <x:v>8</x:v>
      </x:c>
      <x:c r="F491" t="n">
        <x:v>22</x:v>
      </x:c>
      <x:c r="G491" t="n">
        <x:v>300</x:v>
      </x:c>
      <x:c r="H491" t="n">
        <x:v>30000</x:v>
      </x:c>
      <x:c r="I491" t="n">
        <x:f>IF(C491="","",IFERROR(H491/E491/F491/G491/D491,0))</x:f>
        <x:v>0.003156565656565657</x:v>
      </x:c>
      <x:c r="J491" t="n">
        <x:v>0.62777055</x:v>
      </x:c>
      <x:c r="K491" t="n">
        <x:v>0.2</x:v>
      </x:c>
      <x:c r="L491" t="n">
        <x:f>IF(C491="","",IFERROR(J491*K491/D491,0))</x:f>
        <x:v>0.0006975228333333334</x:v>
      </x:c>
      <x:c r="M491" t="n">
        <x:v>3.7</x:v>
      </x:c>
      <x:c r="N491" t="n">
        <x:v>0</x:v>
      </x:c>
      <x:c r="O491" t="n">
        <x:f>IF(C491="","",IFERROR(M491*N491/D491,0))</x:f>
        <x:v>0</x:v>
      </x:c>
      <x:c r="P491" t="n">
        <x:f>IF(C491="","",L491+O491)</x:f>
        <x:v>0.0006975228333333334</x:v>
      </x:c>
      <x:c r="Q491" t="n">
        <x:v>0</x:v>
      </x:c>
      <x:c r="R491" t="n">
        <x:v>0</x:v>
      </x:c>
      <x:c r="S491" t="n">
        <x:v>0</x:v>
      </x:c>
      <x:c r="T491" t="n">
        <x:v>0</x:v>
      </x:c>
      <x:c r="U491" t="n">
        <x:v>0</x:v>
      </x:c>
      <x:c r="V491" t="n">
        <x:v>0</x:v>
      </x:c>
      <x:c r="W491" t="n">
        <x:v>1</x:v>
      </x:c>
      <x:c r="X491" t="n">
        <x:v>6000</x:v>
      </x:c>
      <x:c r="Y491" t="n">
        <x:v>11</x:v>
      </x:c>
      <x:c r="Z491" t="n">
        <x:v>25</x:v>
      </x:c>
      <x:c r="AA491" t="n">
        <x:f>IF(C491="","",IFERROR(W491*X491/Y491/Z491/D491,0))</x:f>
        <x:v>0.12121212121212123</x:v>
      </x:c>
      <x:c r="AB491" t="n">
        <x:v>0.998</x:v>
      </x:c>
      <x:c r="AC491" t="n">
        <x:f>IF(C491="","",IFERROR((I491+P491+(Q491+R491+S491+T491+U491+V491)/D491+AA491)/AB491,0))</x:f>
        <x:v>0.12531684338879784</x:v>
      </x:c>
    </x:row>
    <x:row r="492">
      <x:c r="A492" t="str">
        <x:v>BB110</x:v>
      </x:c>
      <x:c r="B492" t="str">
        <x:v>汇流排电阻/绝缘检测</x:v>
      </x:c>
      <x:c r="C492" t="n">
        <x:v>20</x:v>
      </x:c>
      <x:c r="D492" t="n">
        <x:f>IF(C492="","",IFERROR(60*60/C492,0))</x:f>
        <x:v>180</x:v>
      </x:c>
      <x:c r="E492" t="n">
        <x:v>8</x:v>
      </x:c>
      <x:c r="F492" t="n">
        <x:v>22</x:v>
      </x:c>
      <x:c r="G492" t="n">
        <x:v>300</x:v>
      </x:c>
      <x:c r="H492" t="n">
        <x:v>180000</x:v>
      </x:c>
      <x:c r="I492" t="n">
        <x:f>IF(C492="","",IFERROR(H492/E492/F492/G492/D492,0))</x:f>
        <x:v>0.01893939393939394</x:v>
      </x:c>
      <x:c r="J492" t="n">
        <x:v>0.62777055</x:v>
      </x:c>
      <x:c r="K492" t="n">
        <x:v>1</x:v>
      </x:c>
      <x:c r="L492" t="n">
        <x:f>IF(C492="","",IFERROR(J492*K492/D492,0))</x:f>
        <x:v>0.003487614166666667</x:v>
      </x:c>
      <x:c r="M492" t="n">
        <x:v>3.7</x:v>
      </x:c>
      <x:c r="N492" t="n">
        <x:v>0</x:v>
      </x:c>
      <x:c r="O492" t="n">
        <x:f>IF(C492="","",IFERROR(M492*N492/D492,0))</x:f>
        <x:v>0</x:v>
      </x:c>
      <x:c r="P492" t="n">
        <x:f>IF(C492="","",L492+O492)</x:f>
        <x:v>0.003487614166666667</x:v>
      </x:c>
      <x:c r="Q492" t="n">
        <x:v>0</x:v>
      </x:c>
      <x:c r="R492" t="n">
        <x:v>0</x:v>
      </x:c>
      <x:c r="S492" t="n">
        <x:v>0</x:v>
      </x:c>
      <x:c r="T492" t="n">
        <x:v>0</x:v>
      </x:c>
      <x:c r="U492" t="n">
        <x:v>0</x:v>
      </x:c>
      <x:c r="V492" t="n">
        <x:v>0</x:v>
      </x:c>
      <x:c r="W492" t="n">
        <x:v>1</x:v>
      </x:c>
      <x:c r="X492" t="n">
        <x:v>6000</x:v>
      </x:c>
      <x:c r="Y492" t="n">
        <x:v>11</x:v>
      </x:c>
      <x:c r="Z492" t="n">
        <x:v>25</x:v>
      </x:c>
      <x:c r="AA492" t="n">
        <x:f>IF(C492="","",IFERROR(W492*X492/Y492/Z492/D492,0))</x:f>
        <x:v>0.12121212121212123</x:v>
      </x:c>
      <x:c r="AB492" t="n">
        <x:v>0.998</x:v>
      </x:c>
      <x:c r="AC492" t="n">
        <x:f>IF(C492="","",IFERROR((I492+P492+(Q492+R492+S492+T492+U492+V492)/D492+AA492)/AB492,0))</x:f>
        <x:v>0.14392698328475134</x:v>
      </x:c>
    </x:row>
    <x:row r="493">
      <x:c r="A493" t="str">
        <x:v>BB120</x:v>
      </x:c>
      <x:c r="B493" t="str">
        <x:v>激光打标/扫码追溯</x:v>
      </x:c>
      <x:c r="C493" t="n">
        <x:v>5</x:v>
      </x:c>
      <x:c r="D493" t="n">
        <x:f>IF(C493="","",IFERROR(60*60/C493,0))</x:f>
        <x:v>720</x:v>
      </x:c>
      <x:c r="E493" t="n">
        <x:v>8</x:v>
      </x:c>
      <x:c r="F493" t="n">
        <x:v>22</x:v>
      </x:c>
      <x:c r="G493" t="n">
        <x:v>300</x:v>
      </x:c>
      <x:c r="H493" t="n">
        <x:v>120000</x:v>
      </x:c>
      <x:c r="I493" t="n">
        <x:f>IF(C493="","",IFERROR(H493/E493/F493/G493/D493,0))</x:f>
        <x:v>0.003156565656565657</x:v>
      </x:c>
      <x:c r="J493" t="n">
        <x:v>0.62777055</x:v>
      </x:c>
      <x:c r="K493" t="n">
        <x:v>1</x:v>
      </x:c>
      <x:c r="L493" t="n">
        <x:f>IF(C493="","",IFERROR(J493*K493/D493,0))</x:f>
        <x:v>0.0008719035416666668</x:v>
      </x:c>
      <x:c r="M493" t="n">
        <x:v>3.7</x:v>
      </x:c>
      <x:c r="N493" t="n">
        <x:v>0</x:v>
      </x:c>
      <x:c r="O493" t="n">
        <x:f>IF(C493="","",IFERROR(M493*N493/D493,0))</x:f>
        <x:v>0</x:v>
      </x:c>
      <x:c r="P493" t="n">
        <x:f>IF(C493="","",L493+O493)</x:f>
        <x:v>0.0008719035416666668</x:v>
      </x:c>
      <x:c r="Q493" t="n">
        <x:v>0</x:v>
      </x:c>
      <x:c r="R493" t="n">
        <x:v>0</x:v>
      </x:c>
      <x:c r="S493" t="n">
        <x:v>0</x:v>
      </x:c>
      <x:c r="T493" t="n">
        <x:v>0</x:v>
      </x:c>
      <x:c r="U493" t="n">
        <x:v>0</x:v>
      </x:c>
      <x:c r="V493" t="n">
        <x:v>0</x:v>
      </x:c>
      <x:c r="W493" t="n">
        <x:v>1</x:v>
      </x:c>
      <x:c r="X493" t="n">
        <x:v>6000</x:v>
      </x:c>
      <x:c r="Y493" t="n">
        <x:v>11</x:v>
      </x:c>
      <x:c r="Z493" t="n">
        <x:v>25</x:v>
      </x:c>
      <x:c r="AA493" t="n">
        <x:f>IF(C493="","",IFERROR(W493*X493/Y493/Z493/D493,0))</x:f>
        <x:v>0.030303030303030307</x:v>
      </x:c>
      <x:c r="AB493" t="n">
        <x:v>0.999</x:v>
      </x:c>
      <x:c r="AC493" t="n">
        <x:f>IF(C493="","",IFERROR((I493+P493+(Q493+R493+S493+T493+U493+V493)/D493+AA493)/AB493,0))</x:f>
        <x:v>0.03436586536662926</x:v>
      </x:c>
    </x:row>
    <x:row r="494">
      <x:c r="A494" t="str">
        <x:v>BB130</x:v>
      </x:c>
      <x:c r="B494" t="str">
        <x:v>汇流排包装出货</x:v>
      </x:c>
      <x:c r="C494" t="n">
        <x:v>20</x:v>
      </x:c>
      <x:c r="D494" t="n">
        <x:f>IF(C494="","",IFERROR(60*60/C494,0))</x:f>
        <x:v>180</x:v>
      </x:c>
      <x:c r="E494" t="n">
        <x:v>8</x:v>
      </x:c>
      <x:c r="F494" t="n">
        <x:v>22</x:v>
      </x:c>
      <x:c r="G494" t="n">
        <x:v>300</x:v>
      </x:c>
      <x:c r="H494" t="n">
        <x:v>10000</x:v>
      </x:c>
      <x:c r="I494" t="n">
        <x:f>IF(C494="","",IFERROR(H494/E494/F494/G494/D494,0))</x:f>
        <x:v>0.0010521885521885522</x:v>
      </x:c>
      <x:c r="J494" t="n">
        <x:v>0.62777055</x:v>
      </x:c>
      <x:c r="K494" t="n">
        <x:v>0.1</x:v>
      </x:c>
      <x:c r="L494" t="n">
        <x:f>IF(C494="","",IFERROR(J494*K494/D494,0))</x:f>
        <x:v>0.0003487614166666667</x:v>
      </x:c>
      <x:c r="M494" t="n">
        <x:v>3.7</x:v>
      </x:c>
      <x:c r="N494" t="n">
        <x:v>0</x:v>
      </x:c>
      <x:c r="O494" t="n">
        <x:f>IF(C494="","",IFERROR(M494*N494/D494,0))</x:f>
        <x:v>0</x:v>
      </x:c>
      <x:c r="P494" t="n">
        <x:f>IF(C494="","",L494+O494)</x:f>
        <x:v>0.0003487614166666667</x:v>
      </x:c>
      <x:c r="Q494" t="n">
        <x:v>0</x:v>
      </x:c>
      <x:c r="R494" t="n">
        <x:v>0</x:v>
      </x:c>
      <x:c r="S494" t="n">
        <x:v>0</x:v>
      </x:c>
      <x:c r="T494" t="n">
        <x:v>0</x:v>
      </x:c>
      <x:c r="U494" t="n">
        <x:v>1</x:v>
      </x:c>
      <x:c r="V494" t="n">
        <x:v>0</x:v>
      </x:c>
      <x:c r="W494" t="n">
        <x:v>1</x:v>
      </x:c>
      <x:c r="X494" t="n">
        <x:v>6000</x:v>
      </x:c>
      <x:c r="Y494" t="n">
        <x:v>11</x:v>
      </x:c>
      <x:c r="Z494" t="n">
        <x:v>25</x:v>
      </x:c>
      <x:c r="AA494" t="n">
        <x:f>IF(C494="","",IFERROR(W494*X494/Y494/Z494/D494,0))</x:f>
        <x:v>0.12121212121212123</x:v>
      </x:c>
      <x:c r="AB494" t="n">
        <x:v>0.999</x:v>
      </x:c>
      <x:c r="AC494" t="n">
        <x:f>IF(C494="","",IFERROR((I494+P494+(Q494+R494+S494+T494+U494+V494)/D494+AA494)/AB494,0))</x:f>
        <x:v>0.1282969236601922</x:v>
      </x:c>
    </x:row>
    <x:row r="495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  <x:c r="AA495"/>
      <x:c r="AB495"/>
      <x:c r="AC495"/>
    </x:row>
    <x:row r="496">
      <x:c r="A496" t="str">
        <x:v>线束总成精细工序</x:v>
      </x:c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  <x:c r="AA496"/>
      <x:c r="AB496"/>
      <x:c r="AC496"/>
    </x:row>
    <x:row r="497">
      <x:c r="A497" t="str">
        <x:v>WH10</x:v>
      </x:c>
      <x:c r="B497" t="str">
        <x:v>打印标签</x:v>
      </x:c>
      <x:c r="C497" t="n">
        <x:v>8</x:v>
      </x:c>
      <x:c r="D497" t="n">
        <x:f>IF(C497="","",IFERROR(60*60/C497,0))</x:f>
        <x:v>450</x:v>
      </x:c>
      <x:c r="E497" t="n">
        <x:v>8</x:v>
      </x:c>
      <x:c r="F497" t="n">
        <x:v>22</x:v>
      </x:c>
      <x:c r="G497" t="n">
        <x:v>300</x:v>
      </x:c>
      <x:c r="H497" t="n">
        <x:v>30000</x:v>
      </x:c>
      <x:c r="I497" t="n">
        <x:f>IF(C497="","",IFERROR(H497/E497/F497/G497/D497,0))</x:f>
        <x:v>0.0012626262626262627</x:v>
      </x:c>
      <x:c r="J497" t="n">
        <x:v>0.62777055</x:v>
      </x:c>
      <x:c r="K497" t="n">
        <x:v>1</x:v>
      </x:c>
      <x:c r="L497" t="n">
        <x:f>IF(C497="","",IFERROR(J497*K497/D497,0))</x:f>
        <x:v>0.0013950456666666667</x:v>
      </x:c>
      <x:c r="M497" t="n">
        <x:v>3.7</x:v>
      </x:c>
      <x:c r="N497" t="n">
        <x:v>0</x:v>
      </x:c>
      <x:c r="O497" t="n">
        <x:f>IF(C497="","",IFERROR(M497*N497/D497,0))</x:f>
        <x:v>0</x:v>
      </x:c>
      <x:c r="P497" t="n">
        <x:f>IF(C497="","",L497+O497)</x:f>
        <x:v>0.0013950456666666667</x:v>
      </x:c>
      <x:c r="Q497" t="n">
        <x:v>0</x:v>
      </x:c>
      <x:c r="R497" t="n">
        <x:v>0</x:v>
      </x:c>
      <x:c r="S497" t="n">
        <x:v>0</x:v>
      </x:c>
      <x:c r="T497" t="n">
        <x:v>0</x:v>
      </x:c>
      <x:c r="U497" t="n">
        <x:v>0</x:v>
      </x:c>
      <x:c r="V497" t="n">
        <x:v>0</x:v>
      </x:c>
      <x:c r="W497" t="n">
        <x:v>1</x:v>
      </x:c>
      <x:c r="X497" t="n">
        <x:v>6000</x:v>
      </x:c>
      <x:c r="Y497" t="n">
        <x:v>11</x:v>
      </x:c>
      <x:c r="Z497" t="n">
        <x:v>25</x:v>
      </x:c>
      <x:c r="AA497" t="n">
        <x:f>IF(C497="","",IFERROR(W497*X497/Y497/Z497/D497,0))</x:f>
        <x:v>0.04848484848484849</x:v>
      </x:c>
      <x:c r="AB497" t="n">
        <x:v>0.998</x:v>
      </x:c>
      <x:c r="AC497" t="n">
        <x:f>IF(C497="","",IFERROR((I497+P497+(Q497+R497+S497+T497+U497+V497)/D497+AA497)/AB497,0))</x:f>
        <x:v>0.051245010435011444</x:v>
      </x:c>
    </x:row>
    <x:row r="498">
      <x:c r="A498" t="str">
        <x:v>WH20</x:v>
      </x:c>
      <x:c r="B498" t="str">
        <x:v>切热缩管</x:v>
      </x:c>
      <x:c r="C498" t="n">
        <x:v>3</x:v>
      </x:c>
      <x:c r="D498" t="n">
        <x:f>IF(C498="","",IFERROR(60*60/C498,0))</x:f>
        <x:v>1200</x:v>
      </x:c>
      <x:c r="E498" t="n">
        <x:v>8</x:v>
      </x:c>
      <x:c r="F498" t="n">
        <x:v>22</x:v>
      </x:c>
      <x:c r="G498" t="n">
        <x:v>300</x:v>
      </x:c>
      <x:c r="H498" t="n">
        <x:v>60000</x:v>
      </x:c>
      <x:c r="I498" t="n">
        <x:f>IF(C498="","",IFERROR(H498/E498/F498/G498/D498,0))</x:f>
        <x:v>0.0009469696969696971</x:v>
      </x:c>
      <x:c r="J498" t="n">
        <x:v>0.62777055</x:v>
      </x:c>
      <x:c r="K498" t="n">
        <x:v>1</x:v>
      </x:c>
      <x:c r="L498" t="n">
        <x:f>IF(C498="","",IFERROR(J498*K498/D498,0))</x:f>
        <x:v>0.000523142125</x:v>
      </x:c>
      <x:c r="M498" t="n">
        <x:v>3.7</x:v>
      </x:c>
      <x:c r="N498" t="n">
        <x:v>0</x:v>
      </x:c>
      <x:c r="O498" t="n">
        <x:f>IF(C498="","",IFERROR(M498*N498/D498,0))</x:f>
        <x:v>0</x:v>
      </x:c>
      <x:c r="P498" t="n">
        <x:f>IF(C498="","",L498+O498)</x:f>
        <x:v>0.000523142125</x:v>
      </x:c>
      <x:c r="Q498" t="n">
        <x:v>0</x:v>
      </x:c>
      <x:c r="R498" t="n">
        <x:v>0</x:v>
      </x:c>
      <x:c r="S498" t="n">
        <x:v>0</x:v>
      </x:c>
      <x:c r="T498" t="n">
        <x:v>0</x:v>
      </x:c>
      <x:c r="U498" t="n">
        <x:v>0</x:v>
      </x:c>
      <x:c r="V498" t="n">
        <x:v>0</x:v>
      </x:c>
      <x:c r="W498" t="n">
        <x:v>1</x:v>
      </x:c>
      <x:c r="X498" t="n">
        <x:v>6000</x:v>
      </x:c>
      <x:c r="Y498" t="n">
        <x:v>11</x:v>
      </x:c>
      <x:c r="Z498" t="n">
        <x:v>25</x:v>
      </x:c>
      <x:c r="AA498" t="n">
        <x:f>IF(C498="","",IFERROR(W498*X498/Y498/Z498/D498,0))</x:f>
        <x:v>0.018181818181818184</x:v>
      </x:c>
      <x:c r="AB498" t="n">
        <x:v>0.997</x:v>
      </x:c>
      <x:c r="AC498" t="n">
        <x:f>IF(C498="","",IFERROR((I498+P498+(Q498+R498+S498+T498+U498+V498)/D498+AA498)/AB498,0))</x:f>
        <x:v>0.019711063193367986</x:v>
      </x:c>
    </x:row>
    <x:row r="499">
      <x:c r="A499" t="str">
        <x:v>WH30</x:v>
      </x:c>
      <x:c r="B499" t="str">
        <x:v>全自动双端压着</x:v>
      </x:c>
      <x:c r="C499" t="n">
        <x:v>5</x:v>
      </x:c>
      <x:c r="D499" t="n">
        <x:f>IF(C499="","",IFERROR(60*60/C499,0))</x:f>
        <x:v>720</x:v>
      </x:c>
      <x:c r="E499" t="n">
        <x:v>8</x:v>
      </x:c>
      <x:c r="F499" t="n">
        <x:v>22</x:v>
      </x:c>
      <x:c r="G499" t="n">
        <x:v>300</x:v>
      </x:c>
      <x:c r="H499" t="n">
        <x:v>260000</x:v>
      </x:c>
      <x:c r="I499" t="n">
        <x:f>IF(C499="","",IFERROR(H499/E499/F499/G499/D499,0))</x:f>
        <x:v>0.0068392255892255885</x:v>
      </x:c>
      <x:c r="J499" t="n">
        <x:v>0.62777055</x:v>
      </x:c>
      <x:c r="K499" t="n">
        <x:v>5</x:v>
      </x:c>
      <x:c r="L499" t="n">
        <x:f>IF(C499="","",IFERROR(J499*K499/D499,0))</x:f>
        <x:v>0.004359517708333334</x:v>
      </x:c>
      <x:c r="M499" t="n">
        <x:v>3.7</x:v>
      </x:c>
      <x:c r="N499" t="n">
        <x:v>0</x:v>
      </x:c>
      <x:c r="O499" t="n">
        <x:f>IF(C499="","",IFERROR(M499*N499/D499,0))</x:f>
        <x:v>0</x:v>
      </x:c>
      <x:c r="P499" t="n">
        <x:f>IF(C499="","",L499+O499)</x:f>
        <x:v>0.004359517708333334</x:v>
      </x:c>
      <x:c r="Q499" t="n">
        <x:v>0</x:v>
      </x:c>
      <x:c r="R499" t="n">
        <x:v>0</x:v>
      </x:c>
      <x:c r="S499" t="n">
        <x:v>0</x:v>
      </x:c>
      <x:c r="T499" t="n">
        <x:v>2</x:v>
      </x:c>
      <x:c r="U499" t="n">
        <x:v>0</x:v>
      </x:c>
      <x:c r="V499" t="n">
        <x:v>0</x:v>
      </x:c>
      <x:c r="W499" t="n">
        <x:v>1</x:v>
      </x:c>
      <x:c r="X499" t="n">
        <x:v>6000</x:v>
      </x:c>
      <x:c r="Y499" t="n">
        <x:v>11</x:v>
      </x:c>
      <x:c r="Z499" t="n">
        <x:v>25</x:v>
      </x:c>
      <x:c r="AA499" t="n">
        <x:f>IF(C499="","",IFERROR(W499*X499/Y499/Z499/D499,0))</x:f>
        <x:v>0.030303030303030307</x:v>
      </x:c>
      <x:c r="AB499" t="n">
        <x:v>0.995</x:v>
      </x:c>
      <x:c r="AC499" t="n">
        <x:f>IF(C499="","",IFERROR((I499+P499+(Q499+R499+S499+T499+U499+V499)/D499+AA499)/AB499,0))</x:f>
        <x:v>0.04450206168680101</x:v>
      </x:c>
    </x:row>
    <x:row r="500">
      <x:c r="A500" t="str">
        <x:v>WH40</x:v>
      </x:c>
      <x:c r="B500" t="str">
        <x:v>全自动单端压着</x:v>
      </x:c>
      <x:c r="C500" t="n">
        <x:v>4</x:v>
      </x:c>
      <x:c r="D500" t="n">
        <x:f>IF(C500="","",IFERROR(60*60/C500,0))</x:f>
        <x:v>900</x:v>
      </x:c>
      <x:c r="E500" t="n">
        <x:v>8</x:v>
      </x:c>
      <x:c r="F500" t="n">
        <x:v>22</x:v>
      </x:c>
      <x:c r="G500" t="n">
        <x:v>300</x:v>
      </x:c>
      <x:c r="H500" t="n">
        <x:v>220000</x:v>
      </x:c>
      <x:c r="I500" t="n">
        <x:f>IF(C500="","",IFERROR(H500/E500/F500/G500/D500,0))</x:f>
        <x:v>0.00462962962962963</x:v>
      </x:c>
      <x:c r="J500" t="n">
        <x:v>0.62777055</x:v>
      </x:c>
      <x:c r="K500" t="n">
        <x:v>4</x:v>
      </x:c>
      <x:c r="L500" t="n">
        <x:f>IF(C500="","",IFERROR(J500*K500/D500,0))</x:f>
        <x:v>0.0027900913333333333</x:v>
      </x:c>
      <x:c r="M500" t="n">
        <x:v>3.7</x:v>
      </x:c>
      <x:c r="N500" t="n">
        <x:v>0</x:v>
      </x:c>
      <x:c r="O500" t="n">
        <x:f>IF(C500="","",IFERROR(M500*N500/D500,0))</x:f>
        <x:v>0</x:v>
      </x:c>
      <x:c r="P500" t="n">
        <x:f>IF(C500="","",L500+O500)</x:f>
        <x:v>0.0027900913333333333</x:v>
      </x:c>
      <x:c r="Q500" t="n">
        <x:v>0</x:v>
      </x:c>
      <x:c r="R500" t="n">
        <x:v>0</x:v>
      </x:c>
      <x:c r="S500" t="n">
        <x:v>0</x:v>
      </x:c>
      <x:c r="T500" t="n">
        <x:v>1.5</x:v>
      </x:c>
      <x:c r="U500" t="n">
        <x:v>0</x:v>
      </x:c>
      <x:c r="V500" t="n">
        <x:v>0</x:v>
      </x:c>
      <x:c r="W500" t="n">
        <x:v>1</x:v>
      </x:c>
      <x:c r="X500" t="n">
        <x:v>6000</x:v>
      </x:c>
      <x:c r="Y500" t="n">
        <x:v>11</x:v>
      </x:c>
      <x:c r="Z500" t="n">
        <x:v>25</x:v>
      </x:c>
      <x:c r="AA500" t="n">
        <x:f>IF(C500="","",IFERROR(W500*X500/Y500/Z500/D500,0))</x:f>
        <x:v>0.024242424242424246</x:v>
      </x:c>
      <x:c r="AB500" t="n">
        <x:v>0.995</x:v>
      </x:c>
      <x:c r="AC500" t="n">
        <x:f>IF(C500="","",IFERROR((I500+P500+(Q500+R500+S500+T500+U500+V500)/D500+AA500)/AB500,0))</x:f>
        <x:v>0.03349629333874761</x:v>
      </x:c>
    </x:row>
    <x:row r="501">
      <x:c r="A501" t="str">
        <x:v>WH50</x:v>
      </x:c>
      <x:c r="B501" t="str">
        <x:v>端检Ⅰ（外观/拉力）</x:v>
      </x:c>
      <x:c r="C501" t="n">
        <x:v>8</x:v>
      </x:c>
      <x:c r="D501" t="n">
        <x:f>IF(C501="","",IFERROR(60*60/C501,0))</x:f>
        <x:v>450</x:v>
      </x:c>
      <x:c r="E501" t="n">
        <x:v>8</x:v>
      </x:c>
      <x:c r="F501" t="n">
        <x:v>22</x:v>
      </x:c>
      <x:c r="G501" t="n">
        <x:v>300</x:v>
      </x:c>
      <x:c r="H501" t="n">
        <x:v>80000</x:v>
      </x:c>
      <x:c r="I501" t="n">
        <x:f>IF(C501="","",IFERROR(H501/E501/F501/G501/D501,0))</x:f>
        <x:v>0.003367003367003367</x:v>
      </x:c>
      <x:c r="J501" t="n">
        <x:v>0.62777055</x:v>
      </x:c>
      <x:c r="K501" t="n">
        <x:v>1</x:v>
      </x:c>
      <x:c r="L501" t="n">
        <x:f>IF(C501="","",IFERROR(J501*K501/D501,0))</x:f>
        <x:v>0.0013950456666666667</x:v>
      </x:c>
      <x:c r="M501" t="n">
        <x:v>3.7</x:v>
      </x:c>
      <x:c r="N501" t="n">
        <x:v>0</x:v>
      </x:c>
      <x:c r="O501" t="n">
        <x:f>IF(C501="","",IFERROR(M501*N501/D501,0))</x:f>
        <x:v>0</x:v>
      </x:c>
      <x:c r="P501" t="n">
        <x:f>IF(C501="","",L501+O501)</x:f>
        <x:v>0.0013950456666666667</x:v>
      </x:c>
      <x:c r="Q501" t="n">
        <x:v>0</x:v>
      </x:c>
      <x:c r="R501" t="n">
        <x:v>0</x:v>
      </x:c>
      <x:c r="S501" t="n">
        <x:v>0</x:v>
      </x:c>
      <x:c r="T501" t="n">
        <x:v>0</x:v>
      </x:c>
      <x:c r="U501" t="n">
        <x:v>0</x:v>
      </x:c>
      <x:c r="V501" t="n">
        <x:v>0</x:v>
      </x:c>
      <x:c r="W501" t="n">
        <x:v>1</x:v>
      </x:c>
      <x:c r="X501" t="n">
        <x:v>6000</x:v>
      </x:c>
      <x:c r="Y501" t="n">
        <x:v>11</x:v>
      </x:c>
      <x:c r="Z501" t="n">
        <x:v>25</x:v>
      </x:c>
      <x:c r="AA501" t="n">
        <x:f>IF(C501="","",IFERROR(W501*X501/Y501/Z501/D501,0))</x:f>
        <x:v>0.04848484848484849</x:v>
      </x:c>
      <x:c r="AB501" t="n">
        <x:v>0.998</x:v>
      </x:c>
      <x:c r="AC501" t="n">
        <x:f>IF(C501="","",IFERROR((I501+P501+(Q501+R501+S501+T501+U501+V501)/D501+AA501)/AB501,0))</x:f>
        <x:v>0.05335360472797448</x:v>
      </x:c>
    </x:row>
    <x:row r="502">
      <x:c r="A502" t="str">
        <x:v>WH60</x:v>
      </x:c>
      <x:c r="B502" t="str">
        <x:v>开线/裁线剥皮</x:v>
      </x:c>
      <x:c r="C502" t="n">
        <x:v>3</x:v>
      </x:c>
      <x:c r="D502" t="n">
        <x:f>IF(C502="","",IFERROR(60*60/C502,0))</x:f>
        <x:v>1200</x:v>
      </x:c>
      <x:c r="E502" t="n">
        <x:v>8</x:v>
      </x:c>
      <x:c r="F502" t="n">
        <x:v>22</x:v>
      </x:c>
      <x:c r="G502" t="n">
        <x:v>300</x:v>
      </x:c>
      <x:c r="H502" t="n">
        <x:v>180000</x:v>
      </x:c>
      <x:c r="I502" t="n">
        <x:f>IF(C502="","",IFERROR(H502/E502/F502/G502/D502,0))</x:f>
        <x:v>0.002840909090909091</x:v>
      </x:c>
      <x:c r="J502" t="n">
        <x:v>0.62777055</x:v>
      </x:c>
      <x:c r="K502" t="n">
        <x:v>4</x:v>
      </x:c>
      <x:c r="L502" t="n">
        <x:f>IF(C502="","",IFERROR(J502*K502/D502,0))</x:f>
        <x:v>0.0020925685</x:v>
      </x:c>
      <x:c r="M502" t="n">
        <x:v>3.7</x:v>
      </x:c>
      <x:c r="N502" t="n">
        <x:v>0</x:v>
      </x:c>
      <x:c r="O502" t="n">
        <x:f>IF(C502="","",IFERROR(M502*N502/D502,0))</x:f>
        <x:v>0</x:v>
      </x:c>
      <x:c r="P502" t="n">
        <x:f>IF(C502="","",L502+O502)</x:f>
        <x:v>0.0020925685</x:v>
      </x:c>
      <x:c r="Q502" t="n">
        <x:v>0</x:v>
      </x:c>
      <x:c r="R502" t="n">
        <x:v>0</x:v>
      </x:c>
      <x:c r="S502" t="n">
        <x:v>0</x:v>
      </x:c>
      <x:c r="T502" t="n">
        <x:v>1</x:v>
      </x:c>
      <x:c r="U502" t="n">
        <x:v>0</x:v>
      </x:c>
      <x:c r="V502" t="n">
        <x:v>0</x:v>
      </x:c>
      <x:c r="W502" t="n">
        <x:v>1</x:v>
      </x:c>
      <x:c r="X502" t="n">
        <x:v>6000</x:v>
      </x:c>
      <x:c r="Y502" t="n">
        <x:v>11</x:v>
      </x:c>
      <x:c r="Z502" t="n">
        <x:v>25</x:v>
      </x:c>
      <x:c r="AA502" t="n">
        <x:f>IF(C502="","",IFERROR(W502*X502/Y502/Z502/D502,0))</x:f>
        <x:v>0.018181818181818184</x:v>
      </x:c>
      <x:c r="AB502" t="n">
        <x:v>0.995</x:v>
      </x:c>
      <x:c r="AC502" t="n">
        <x:f>IF(C502="","",IFERROR((I502+P502+(Q502+R502+S502+T502+U502+V502)/D502+AA502)/AB502,0))</x:f>
        <x:v>0.02406897397594031</x:v>
      </x:c>
    </x:row>
    <x:row r="503">
      <x:c r="A503" t="str">
        <x:v>WH70</x:v>
      </x:c>
      <x:c r="B503" t="str">
        <x:v>穿热缩管</x:v>
      </x:c>
      <x:c r="C503" t="n">
        <x:v>5</x:v>
      </x:c>
      <x:c r="D503" t="n">
        <x:f>IF(C503="","",IFERROR(60*60/C503,0))</x:f>
        <x:v>720</x:v>
      </x:c>
      <x:c r="E503" t="n">
        <x:v>8</x:v>
      </x:c>
      <x:c r="F503" t="n">
        <x:v>22</x:v>
      </x:c>
      <x:c r="G503" t="n">
        <x:v>300</x:v>
      </x:c>
      <x:c r="H503" t="n">
        <x:v>8000</x:v>
      </x:c>
      <x:c r="I503" t="n">
        <x:f>IF(C503="","",IFERROR(H503/E503/F503/G503/D503,0))</x:f>
        <x:v>0.00021043771043771046</x:v>
      </x:c>
      <x:c r="J503" t="n">
        <x:v>0.62777055</x:v>
      </x:c>
      <x:c r="K503" t="n">
        <x:v>0.1</x:v>
      </x:c>
      <x:c r="L503" t="n">
        <x:f>IF(C503="","",IFERROR(J503*K503/D503,0))</x:f>
        <x:v>0.00008719035416666668</x:v>
      </x:c>
      <x:c r="M503" t="n">
        <x:v>3.7</x:v>
      </x:c>
      <x:c r="N503" t="n">
        <x:v>0</x:v>
      </x:c>
      <x:c r="O503" t="n">
        <x:f>IF(C503="","",IFERROR(M503*N503/D503,0))</x:f>
        <x:v>0</x:v>
      </x:c>
      <x:c r="P503" t="n">
        <x:f>IF(C503="","",L503+O503)</x:f>
        <x:v>0.00008719035416666668</x:v>
      </x:c>
      <x:c r="Q503" t="n">
        <x:v>0</x:v>
      </x:c>
      <x:c r="R503" t="n">
        <x:v>0</x:v>
      </x:c>
      <x:c r="S503" t="n">
        <x:v>0</x:v>
      </x:c>
      <x:c r="T503" t="n">
        <x:v>0</x:v>
      </x:c>
      <x:c r="U503" t="n">
        <x:v>0</x:v>
      </x:c>
      <x:c r="V503" t="n">
        <x:v>0</x:v>
      </x:c>
      <x:c r="W503" t="n">
        <x:v>1</x:v>
      </x:c>
      <x:c r="X503" t="n">
        <x:v>6000</x:v>
      </x:c>
      <x:c r="Y503" t="n">
        <x:v>11</x:v>
      </x:c>
      <x:c r="Z503" t="n">
        <x:v>25</x:v>
      </x:c>
      <x:c r="AA503" t="n">
        <x:f>IF(C503="","",IFERROR(W503*X503/Y503/Z503/D503,0))</x:f>
        <x:v>0.030303030303030307</x:v>
      </x:c>
      <x:c r="AB503" t="n">
        <x:v>0.999</x:v>
      </x:c>
      <x:c r="AC503" t="n">
        <x:f>IF(C503="","",IFERROR((I503+P503+(Q503+R503+S503+T503+U503+V503)/D503+AA503)/AB503,0))</x:f>
        <x:v>0.030631289657291977</x:v>
      </x:c>
    </x:row>
    <x:row r="504">
      <x:c r="A504" t="str">
        <x:v>WH80</x:v>
      </x:c>
      <x:c r="B504" t="str">
        <x:v>压线夹（三线）</x:v>
      </x:c>
      <x:c r="C504" t="n">
        <x:v>8</x:v>
      </x:c>
      <x:c r="D504" t="n">
        <x:f>IF(C504="","",IFERROR(60*60/C504,0))</x:f>
        <x:v>450</x:v>
      </x:c>
      <x:c r="E504" t="n">
        <x:v>8</x:v>
      </x:c>
      <x:c r="F504" t="n">
        <x:v>22</x:v>
      </x:c>
      <x:c r="G504" t="n">
        <x:v>300</x:v>
      </x:c>
      <x:c r="H504" t="n">
        <x:v>60000</x:v>
      </x:c>
      <x:c r="I504" t="n">
        <x:f>IF(C504="","",IFERROR(H504/E504/F504/G504/D504,0))</x:f>
        <x:v>0.0025252525252525255</x:v>
      </x:c>
      <x:c r="J504" t="n">
        <x:v>0.62777055</x:v>
      </x:c>
      <x:c r="K504" t="n">
        <x:v>1</x:v>
      </x:c>
      <x:c r="L504" t="n">
        <x:f>IF(C504="","",IFERROR(J504*K504/D504,0))</x:f>
        <x:v>0.0013950456666666667</x:v>
      </x:c>
      <x:c r="M504" t="n">
        <x:v>3.7</x:v>
      </x:c>
      <x:c r="N504" t="n">
        <x:v>0</x:v>
      </x:c>
      <x:c r="O504" t="n">
        <x:f>IF(C504="","",IFERROR(M504*N504/D504,0))</x:f>
        <x:v>0</x:v>
      </x:c>
      <x:c r="P504" t="n">
        <x:f>IF(C504="","",L504+O504)</x:f>
        <x:v>0.0013950456666666667</x:v>
      </x:c>
      <x:c r="Q504" t="n">
        <x:v>0</x:v>
      </x:c>
      <x:c r="R504" t="n">
        <x:v>0</x:v>
      </x:c>
      <x:c r="S504" t="n">
        <x:v>0</x:v>
      </x:c>
      <x:c r="T504" t="n">
        <x:v>0.5</x:v>
      </x:c>
      <x:c r="U504" t="n">
        <x:v>0</x:v>
      </x:c>
      <x:c r="V504" t="n">
        <x:v>0</x:v>
      </x:c>
      <x:c r="W504" t="n">
        <x:v>1</x:v>
      </x:c>
      <x:c r="X504" t="n">
        <x:v>6000</x:v>
      </x:c>
      <x:c r="Y504" t="n">
        <x:v>11</x:v>
      </x:c>
      <x:c r="Z504" t="n">
        <x:v>25</x:v>
      </x:c>
      <x:c r="AA504" t="n">
        <x:f>IF(C504="","",IFERROR(W504*X504/Y504/Z504/D504,0))</x:f>
        <x:v>0.04848484848484849</x:v>
      </x:c>
      <x:c r="AB504" t="n">
        <x:v>0.995</x:v>
      </x:c>
      <x:c r="AC504" t="n">
        <x:f>IF(C504="","",IFERROR((I504+P504+(Q504+R504+S504+T504+U504+V504)/D504+AA504)/AB504,0))</x:f>
        <x:v>0.05378518370641085</x:v>
      </x:c>
    </x:row>
    <x:row r="505">
      <x:c r="A505" t="str">
        <x:v>WH90</x:v>
      </x:c>
      <x:c r="B505" t="str">
        <x:v>端检Ⅱ（压接确认）</x:v>
      </x:c>
      <x:c r="C505" t="n">
        <x:v>6</x:v>
      </x:c>
      <x:c r="D505" t="n">
        <x:f>IF(C505="","",IFERROR(60*60/C505,0))</x:f>
        <x:v>600</x:v>
      </x:c>
      <x:c r="E505" t="n">
        <x:v>8</x:v>
      </x:c>
      <x:c r="F505" t="n">
        <x:v>22</x:v>
      </x:c>
      <x:c r="G505" t="n">
        <x:v>300</x:v>
      </x:c>
      <x:c r="H505" t="n">
        <x:v>50000</x:v>
      </x:c>
      <x:c r="I505" t="n">
        <x:f>IF(C505="","",IFERROR(H505/E505/F505/G505/D505,0))</x:f>
        <x:v>0.0015782828282828283</x:v>
      </x:c>
      <x:c r="J505" t="n">
        <x:v>0.62777055</x:v>
      </x:c>
      <x:c r="K505" t="n">
        <x:v>0.5</x:v>
      </x:c>
      <x:c r="L505" t="n">
        <x:f>IF(C505="","",IFERROR(J505*K505/D505,0))</x:f>
        <x:v>0.000523142125</x:v>
      </x:c>
      <x:c r="M505" t="n">
        <x:v>3.7</x:v>
      </x:c>
      <x:c r="N505" t="n">
        <x:v>0</x:v>
      </x:c>
      <x:c r="O505" t="n">
        <x:f>IF(C505="","",IFERROR(M505*N505/D505,0))</x:f>
        <x:v>0</x:v>
      </x:c>
      <x:c r="P505" t="n">
        <x:f>IF(C505="","",L505+O505)</x:f>
        <x:v>0.000523142125</x:v>
      </x:c>
      <x:c r="Q505" t="n">
        <x:v>0</x:v>
      </x:c>
      <x:c r="R505" t="n">
        <x:v>0</x:v>
      </x:c>
      <x:c r="S505" t="n">
        <x:v>0</x:v>
      </x:c>
      <x:c r="T505" t="n">
        <x:v>0</x:v>
      </x:c>
      <x:c r="U505" t="n">
        <x:v>0</x:v>
      </x:c>
      <x:c r="V505" t="n">
        <x:v>0</x:v>
      </x:c>
      <x:c r="W505" t="n">
        <x:v>1</x:v>
      </x:c>
      <x:c r="X505" t="n">
        <x:v>6000</x:v>
      </x:c>
      <x:c r="Y505" t="n">
        <x:v>11</x:v>
      </x:c>
      <x:c r="Z505" t="n">
        <x:v>25</x:v>
      </x:c>
      <x:c r="AA505" t="n">
        <x:f>IF(C505="","",IFERROR(W505*X505/Y505/Z505/D505,0))</x:f>
        <x:v>0.03636363636363637</x:v>
      </x:c>
      <x:c r="AB505" t="n">
        <x:v>0.998</x:v>
      </x:c>
      <x:c r="AC505" t="n">
        <x:f>IF(C505="","",IFERROR((I505+P505+(Q505+R505+S505+T505+U505+V505)/D505+AA505)/AB505,0))</x:f>
        <x:v>0.038542145608135465</x:v>
      </x:c>
    </x:row>
    <x:row r="506">
      <x:c r="A506" t="str">
        <x:v>WH100</x:v>
      </x:c>
      <x:c r="B506" t="str">
        <x:v>吹热缩管</x:v>
      </x:c>
      <x:c r="C506" t="n">
        <x:v>10</x:v>
      </x:c>
      <x:c r="D506" t="n">
        <x:f>IF(C506="","",IFERROR(60*60/C506,0))</x:f>
        <x:v>360</x:v>
      </x:c>
      <x:c r="E506" t="n">
        <x:v>8</x:v>
      </x:c>
      <x:c r="F506" t="n">
        <x:v>22</x:v>
      </x:c>
      <x:c r="G506" t="n">
        <x:v>300</x:v>
      </x:c>
      <x:c r="H506" t="n">
        <x:v>28000</x:v>
      </x:c>
      <x:c r="I506" t="n">
        <x:f>IF(C506="","",IFERROR(H506/E506/F506/G506/D506,0))</x:f>
        <x:v>0.001473063973063973</x:v>
      </x:c>
      <x:c r="J506" t="n">
        <x:v>0.62777055</x:v>
      </x:c>
      <x:c r="K506" t="n">
        <x:v>1.5</x:v>
      </x:c>
      <x:c r="L506" t="n">
        <x:f>IF(C506="","",IFERROR(J506*K506/D506,0))</x:f>
        <x:v>0.002615710625</x:v>
      </x:c>
      <x:c r="M506" t="n">
        <x:v>3.7</x:v>
      </x:c>
      <x:c r="N506" t="n">
        <x:v>0</x:v>
      </x:c>
      <x:c r="O506" t="n">
        <x:f>IF(C506="","",IFERROR(M506*N506/D506,0))</x:f>
        <x:v>0</x:v>
      </x:c>
      <x:c r="P506" t="n">
        <x:f>IF(C506="","",L506+O506)</x:f>
        <x:v>0.002615710625</x:v>
      </x:c>
      <x:c r="Q506" t="n">
        <x:v>0</x:v>
      </x:c>
      <x:c r="R506" t="n">
        <x:v>0</x:v>
      </x:c>
      <x:c r="S506" t="n">
        <x:v>0</x:v>
      </x:c>
      <x:c r="T506" t="n">
        <x:v>0</x:v>
      </x:c>
      <x:c r="U506" t="n">
        <x:v>0</x:v>
      </x:c>
      <x:c r="V506" t="n">
        <x:v>0</x:v>
      </x:c>
      <x:c r="W506" t="n">
        <x:v>1</x:v>
      </x:c>
      <x:c r="X506" t="n">
        <x:v>6000</x:v>
      </x:c>
      <x:c r="Y506" t="n">
        <x:v>11</x:v>
      </x:c>
      <x:c r="Z506" t="n">
        <x:v>25</x:v>
      </x:c>
      <x:c r="AA506" t="n">
        <x:f>IF(C506="","",IFERROR(W506*X506/Y506/Z506/D506,0))</x:f>
        <x:v>0.060606060606060615</x:v>
      </x:c>
      <x:c r="AB506" t="n">
        <x:v>0.998</x:v>
      </x:c>
      <x:c r="AC506" t="n">
        <x:f>IF(C506="","",IFERROR((I506+P506+(Q506+R506+S506+T506+U506+V506)/D506+AA506)/AB506,0))</x:f>
        <x:v>0.06482448417246953</x:v>
      </x:c>
    </x:row>
    <x:row r="507">
      <x:c r="A507" t="str">
        <x:v>WH110</x:v>
      </x:c>
      <x:c r="B507" t="str">
        <x:v>插塑壳/卡扣</x:v>
      </x:c>
      <x:c r="C507" t="n">
        <x:v>8</x:v>
      </x:c>
      <x:c r="D507" t="n">
        <x:f>IF(C507="","",IFERROR(60*60/C507,0))</x:f>
        <x:v>450</x:v>
      </x:c>
      <x:c r="E507" t="n">
        <x:v>8</x:v>
      </x:c>
      <x:c r="F507" t="n">
        <x:v>22</x:v>
      </x:c>
      <x:c r="G507" t="n">
        <x:v>300</x:v>
      </x:c>
      <x:c r="H507" t="n">
        <x:v>8000</x:v>
      </x:c>
      <x:c r="I507" t="n">
        <x:f>IF(C507="","",IFERROR(H507/E507/F507/G507/D507,0))</x:f>
        <x:v>0.0003367003367003367</x:v>
      </x:c>
      <x:c r="J507" t="n">
        <x:v>0.62777055</x:v>
      </x:c>
      <x:c r="K507" t="n">
        <x:v>0.1</x:v>
      </x:c>
      <x:c r="L507" t="n">
        <x:f>IF(C507="","",IFERROR(J507*K507/D507,0))</x:f>
        <x:v>0.0001395045666666667</x:v>
      </x:c>
      <x:c r="M507" t="n">
        <x:v>3.7</x:v>
      </x:c>
      <x:c r="N507" t="n">
        <x:v>0</x:v>
      </x:c>
      <x:c r="O507" t="n">
        <x:f>IF(C507="","",IFERROR(M507*N507/D507,0))</x:f>
        <x:v>0</x:v>
      </x:c>
      <x:c r="P507" t="n">
        <x:f>IF(C507="","",L507+O507)</x:f>
        <x:v>0.0001395045666666667</x:v>
      </x:c>
      <x:c r="Q507" t="n">
        <x:v>0</x:v>
      </x:c>
      <x:c r="R507" t="n">
        <x:v>0</x:v>
      </x:c>
      <x:c r="S507" t="n">
        <x:v>0</x:v>
      </x:c>
      <x:c r="T507" t="n">
        <x:v>0</x:v>
      </x:c>
      <x:c r="U507" t="n">
        <x:v>0</x:v>
      </x:c>
      <x:c r="V507" t="n">
        <x:v>0</x:v>
      </x:c>
      <x:c r="W507" t="n">
        <x:v>1</x:v>
      </x:c>
      <x:c r="X507" t="n">
        <x:v>6000</x:v>
      </x:c>
      <x:c r="Y507" t="n">
        <x:v>11</x:v>
      </x:c>
      <x:c r="Z507" t="n">
        <x:v>25</x:v>
      </x:c>
      <x:c r="AA507" t="n">
        <x:f>IF(C507="","",IFERROR(W507*X507/Y507/Z507/D507,0))</x:f>
        <x:v>0.04848484848484849</x:v>
      </x:c>
      <x:c r="AB507" t="n">
        <x:v>0.997</x:v>
      </x:c>
      <x:c r="AC507" t="n">
        <x:f>IF(C507="","",IFERROR((I507+P507+(Q507+R507+S507+T507+U507+V507)/D507+AA507)/AB507,0))</x:f>
        <x:v>0.049108378523786855</x:v>
      </x:c>
    </x:row>
    <x:row r="508">
      <x:c r="A508" t="str">
        <x:v>WH120</x:v>
      </x:c>
      <x:c r="B508" t="str">
        <x:v>组装上架/布线</x:v>
      </x:c>
      <x:c r="C508" t="n">
        <x:v>35</x:v>
      </x:c>
      <x:c r="D508" t="n">
        <x:f>IF(C508="","",IFERROR(60*60/C508,0))</x:f>
        <x:v>102.85714285714286</x:v>
      </x:c>
      <x:c r="E508" t="n">
        <x:v>8</x:v>
      </x:c>
      <x:c r="F508" t="n">
        <x:v>22</x:v>
      </x:c>
      <x:c r="G508" t="n">
        <x:v>300</x:v>
      </x:c>
      <x:c r="H508" t="n">
        <x:v>12000</x:v>
      </x:c>
      <x:c r="I508" t="n">
        <x:f>IF(C508="","",IFERROR(H508/E508/F508/G508/D508,0))</x:f>
        <x:v>0.0022095959595959595</x:v>
      </x:c>
      <x:c r="J508" t="n">
        <x:v>0.62777055</x:v>
      </x:c>
      <x:c r="K508" t="n">
        <x:v>0.2</x:v>
      </x:c>
      <x:c r="L508" t="n">
        <x:f>IF(C508="","",IFERROR(J508*K508/D508,0))</x:f>
        <x:v>0.0012206649583333335</x:v>
      </x:c>
      <x:c r="M508" t="n">
        <x:v>3.7</x:v>
      </x:c>
      <x:c r="N508" t="n">
        <x:v>0</x:v>
      </x:c>
      <x:c r="O508" t="n">
        <x:f>IF(C508="","",IFERROR(M508*N508/D508,0))</x:f>
        <x:v>0</x:v>
      </x:c>
      <x:c r="P508" t="n">
        <x:f>IF(C508="","",L508+O508)</x:f>
        <x:v>0.0012206649583333335</x:v>
      </x:c>
      <x:c r="Q508" t="n">
        <x:v>0</x:v>
      </x:c>
      <x:c r="R508" t="n">
        <x:v>0</x:v>
      </x:c>
      <x:c r="S508" t="n">
        <x:v>0</x:v>
      </x:c>
      <x:c r="T508" t="n">
        <x:v>0</x:v>
      </x:c>
      <x:c r="U508" t="n">
        <x:v>0</x:v>
      </x:c>
      <x:c r="V508" t="n">
        <x:v>0</x:v>
      </x:c>
      <x:c r="W508" t="n">
        <x:v>2</x:v>
      </x:c>
      <x:c r="X508" t="n">
        <x:v>6000</x:v>
      </x:c>
      <x:c r="Y508" t="n">
        <x:v>11</x:v>
      </x:c>
      <x:c r="Z508" t="n">
        <x:v>25</x:v>
      </x:c>
      <x:c r="AA508" t="n">
        <x:f>IF(C508="","",IFERROR(W508*X508/Y508/Z508/D508,0))</x:f>
        <x:v>0.42424242424242425</x:v>
      </x:c>
      <x:c r="AB508" t="n">
        <x:v>0.995</x:v>
      </x:c>
      <x:c r="AC508" t="n">
        <x:f>IF(C508="","",IFERROR((I508+P508+(Q508+R508+S508+T508+U508+V508)/D508+AA508)/AB508,0))</x:f>
        <x:v>0.4298217941310086</x:v>
      </x:c>
    </x:row>
    <x:row r="509">
      <x:c r="A509" t="str">
        <x:v>WH130</x:v>
      </x:c>
      <x:c r="B509" t="str">
        <x:v>缠胶/贴标签/取线</x:v>
      </x:c>
      <x:c r="C509" t="n">
        <x:v>30</x:v>
      </x:c>
      <x:c r="D509" t="n">
        <x:f>IF(C509="","",IFERROR(60*60/C509,0))</x:f>
        <x:v>120</x:v>
      </x:c>
      <x:c r="E509" t="n">
        <x:v>8</x:v>
      </x:c>
      <x:c r="F509" t="n">
        <x:v>22</x:v>
      </x:c>
      <x:c r="G509" t="n">
        <x:v>300</x:v>
      </x:c>
      <x:c r="H509" t="n">
        <x:v>8000</x:v>
      </x:c>
      <x:c r="I509" t="n">
        <x:f>IF(C509="","",IFERROR(H509/E509/F509/G509/D509,0))</x:f>
        <x:v>0.0012626262626262627</x:v>
      </x:c>
      <x:c r="J509" t="n">
        <x:v>0.62777055</x:v>
      </x:c>
      <x:c r="K509" t="n">
        <x:v>0.1</x:v>
      </x:c>
      <x:c r="L509" t="n">
        <x:f>IF(C509="","",IFERROR(J509*K509/D509,0))</x:f>
        <x:v>0.0005231421250000001</x:v>
      </x:c>
      <x:c r="M509" t="n">
        <x:v>3.7</x:v>
      </x:c>
      <x:c r="N509" t="n">
        <x:v>0</x:v>
      </x:c>
      <x:c r="O509" t="n">
        <x:f>IF(C509="","",IFERROR(M509*N509/D509,0))</x:f>
        <x:v>0</x:v>
      </x:c>
      <x:c r="P509" t="n">
        <x:f>IF(C509="","",L509+O509)</x:f>
        <x:v>0.0005231421250000001</x:v>
      </x:c>
      <x:c r="Q509" t="n">
        <x:v>0</x:v>
      </x:c>
      <x:c r="R509" t="n">
        <x:v>0</x:v>
      </x:c>
      <x:c r="S509" t="n">
        <x:v>0</x:v>
      </x:c>
      <x:c r="T509" t="n">
        <x:v>0</x:v>
      </x:c>
      <x:c r="U509" t="n">
        <x:v>1</x:v>
      </x:c>
      <x:c r="V509" t="n">
        <x:v>0</x:v>
      </x:c>
      <x:c r="W509" t="n">
        <x:v>2</x:v>
      </x:c>
      <x:c r="X509" t="n">
        <x:v>6000</x:v>
      </x:c>
      <x:c r="Y509" t="n">
        <x:v>11</x:v>
      </x:c>
      <x:c r="Z509" t="n">
        <x:v>25</x:v>
      </x:c>
      <x:c r="AA509" t="n">
        <x:f>IF(C509="","",IFERROR(W509*X509/Y509/Z509/D509,0))</x:f>
        <x:v>0.36363636363636365</x:v>
      </x:c>
      <x:c r="AB509" t="n">
        <x:v>0.995</x:v>
      </x:c>
      <x:c r="AC509" t="n">
        <x:f>IF(C509="","",IFERROR((I509+P509+(Q509+R509+S509+T509+U509+V509)/D509+AA509)/AB509,0))</x:f>
        <x:v>0.375633633524948</x:v>
      </x:c>
    </x:row>
    <x:row r="510">
      <x:c r="A510" t="str">
        <x:v>WH140</x:v>
      </x:c>
      <x:c r="B510" t="str">
        <x:v>扎剪扎带</x:v>
      </x:c>
      <x:c r="C510" t="n">
        <x:v>12</x:v>
      </x:c>
      <x:c r="D510" t="n">
        <x:f>IF(C510="","",IFERROR(60*60/C510,0))</x:f>
        <x:v>300</x:v>
      </x:c>
      <x:c r="E510" t="n">
        <x:v>8</x:v>
      </x:c>
      <x:c r="F510" t="n">
        <x:v>22</x:v>
      </x:c>
      <x:c r="G510" t="n">
        <x:v>300</x:v>
      </x:c>
      <x:c r="H510" t="n">
        <x:v>5000</x:v>
      </x:c>
      <x:c r="I510" t="n">
        <x:f>IF(C510="","",IFERROR(H510/E510/F510/G510/D510,0))</x:f>
        <x:v>0.00031565656565656563</x:v>
      </x:c>
      <x:c r="J510" t="n">
        <x:v>0.62777055</x:v>
      </x:c>
      <x:c r="K510" t="n">
        <x:v>0.1</x:v>
      </x:c>
      <x:c r="L510" t="n">
        <x:f>IF(C510="","",IFERROR(J510*K510/D510,0))</x:f>
        <x:v>0.00020925685000000005</x:v>
      </x:c>
      <x:c r="M510" t="n">
        <x:v>3.7</x:v>
      </x:c>
      <x:c r="N510" t="n">
        <x:v>0</x:v>
      </x:c>
      <x:c r="O510" t="n">
        <x:f>IF(C510="","",IFERROR(M510*N510/D510,0))</x:f>
        <x:v>0</x:v>
      </x:c>
      <x:c r="P510" t="n">
        <x:f>IF(C510="","",L510+O510)</x:f>
        <x:v>0.00020925685000000005</x:v>
      </x:c>
      <x:c r="Q510" t="n">
        <x:v>0</x:v>
      </x:c>
      <x:c r="R510" t="n">
        <x:v>0</x:v>
      </x:c>
      <x:c r="S510" t="n">
        <x:v>0</x:v>
      </x:c>
      <x:c r="T510" t="n">
        <x:v>0</x:v>
      </x:c>
      <x:c r="U510" t="n">
        <x:v>0</x:v>
      </x:c>
      <x:c r="V510" t="n">
        <x:v>0</x:v>
      </x:c>
      <x:c r="W510" t="n">
        <x:v>1</x:v>
      </x:c>
      <x:c r="X510" t="n">
        <x:v>6000</x:v>
      </x:c>
      <x:c r="Y510" t="n">
        <x:v>11</x:v>
      </x:c>
      <x:c r="Z510" t="n">
        <x:v>25</x:v>
      </x:c>
      <x:c r="AA510" t="n">
        <x:f>IF(C510="","",IFERROR(W510*X510/Y510/Z510/D510,0))</x:f>
        <x:v>0.07272727272727274</x:v>
      </x:c>
      <x:c r="AB510" t="n">
        <x:v>0.998</x:v>
      </x:c>
      <x:c r="AC510" t="n">
        <x:f>IF(C510="","",IFERROR((I510+P510+(Q510+R510+S510+T510+U510+V510)/D510+AA510)/AB510,0))</x:f>
        <x:v>0.0733989841111516</x:v>
      </x:c>
    </x:row>
    <x:row r="511">
      <x:c r="A511" t="str">
        <x:v>WH150</x:v>
      </x:c>
      <x:c r="B511" t="str">
        <x:v>导通测试+贴主标签</x:v>
      </x:c>
      <x:c r="C511" t="n">
        <x:v>20</x:v>
      </x:c>
      <x:c r="D511" t="n">
        <x:f>IF(C511="","",IFERROR(60*60/C511,0))</x:f>
        <x:v>180</x:v>
      </x:c>
      <x:c r="E511" t="n">
        <x:v>8</x:v>
      </x:c>
      <x:c r="F511" t="n">
        <x:v>22</x:v>
      </x:c>
      <x:c r="G511" t="n">
        <x:v>300</x:v>
      </x:c>
      <x:c r="H511" t="n">
        <x:v>160000</x:v>
      </x:c>
      <x:c r="I511" t="n">
        <x:f>IF(C511="","",IFERROR(H511/E511/F511/G511/D511,0))</x:f>
        <x:v>0.016835016835016835</x:v>
      </x:c>
      <x:c r="J511" t="n">
        <x:v>0.62777055</x:v>
      </x:c>
      <x:c r="K511" t="n">
        <x:v>1.5</x:v>
      </x:c>
      <x:c r="L511" t="n">
        <x:f>IF(C511="","",IFERROR(J511*K511/D511,0))</x:f>
        <x:v>0.00523142125</x:v>
      </x:c>
      <x:c r="M511" t="n">
        <x:v>3.7</x:v>
      </x:c>
      <x:c r="N511" t="n">
        <x:v>0</x:v>
      </x:c>
      <x:c r="O511" t="n">
        <x:f>IF(C511="","",IFERROR(M511*N511/D511,0))</x:f>
        <x:v>0</x:v>
      </x:c>
      <x:c r="P511" t="n">
        <x:f>IF(C511="","",L511+O511)</x:f>
        <x:v>0.00523142125</x:v>
      </x:c>
      <x:c r="Q511" t="n">
        <x:v>0</x:v>
      </x:c>
      <x:c r="R511" t="n">
        <x:v>0</x:v>
      </x:c>
      <x:c r="S511" t="n">
        <x:v>0</x:v>
      </x:c>
      <x:c r="T511" t="n">
        <x:v>0</x:v>
      </x:c>
      <x:c r="U511" t="n">
        <x:v>0</x:v>
      </x:c>
      <x:c r="V511" t="n">
        <x:v>0</x:v>
      </x:c>
      <x:c r="W511" t="n">
        <x:v>1</x:v>
      </x:c>
      <x:c r="X511" t="n">
        <x:v>6000</x:v>
      </x:c>
      <x:c r="Y511" t="n">
        <x:v>11</x:v>
      </x:c>
      <x:c r="Z511" t="n">
        <x:v>25</x:v>
      </x:c>
      <x:c r="AA511" t="n">
        <x:f>IF(C511="","",IFERROR(W511*X511/Y511/Z511/D511,0))</x:f>
        <x:v>0.12121212121212123</x:v>
      </x:c>
      <x:c r="AB511" t="n">
        <x:v>0.998</x:v>
      </x:c>
      <x:c r="AC511" t="n">
        <x:f>IF(C511="","",IFERROR((I511+P511+(Q511+R511+S511+T511+U511+V511)/D511+AA511)/AB511,0))</x:f>
        <x:v>0.14356569067849506</x:v>
      </x:c>
    </x:row>
    <x:row r="512">
      <x:c r="A512" t="str">
        <x:v>WH160</x:v>
      </x:c>
      <x:c r="B512" t="str">
        <x:v>成品检验</x:v>
      </x:c>
      <x:c r="C512" t="n">
        <x:v>15</x:v>
      </x:c>
      <x:c r="D512" t="n">
        <x:f>IF(C512="","",IFERROR(60*60/C512,0))</x:f>
        <x:v>240</x:v>
      </x:c>
      <x:c r="E512" t="n">
        <x:v>8</x:v>
      </x:c>
      <x:c r="F512" t="n">
        <x:v>22</x:v>
      </x:c>
      <x:c r="G512" t="n">
        <x:v>300</x:v>
      </x:c>
      <x:c r="H512" t="n">
        <x:v>30000</x:v>
      </x:c>
      <x:c r="I512" t="n">
        <x:f>IF(C512="","",IFERROR(H512/E512/F512/G512/D512,0))</x:f>
        <x:v>0.0023674242424242425</x:v>
      </x:c>
      <x:c r="J512" t="n">
        <x:v>0.62777055</x:v>
      </x:c>
      <x:c r="K512" t="n">
        <x:v>0.2</x:v>
      </x:c>
      <x:c r="L512" t="n">
        <x:f>IF(C512="","",IFERROR(J512*K512/D512,0))</x:f>
        <x:v>0.0005231421250000001</x:v>
      </x:c>
      <x:c r="M512" t="n">
        <x:v>3.7</x:v>
      </x:c>
      <x:c r="N512" t="n">
        <x:v>0</x:v>
      </x:c>
      <x:c r="O512" t="n">
        <x:f>IF(C512="","",IFERROR(M512*N512/D512,0))</x:f>
        <x:v>0</x:v>
      </x:c>
      <x:c r="P512" t="n">
        <x:f>IF(C512="","",L512+O512)</x:f>
        <x:v>0.0005231421250000001</x:v>
      </x:c>
      <x:c r="Q512" t="n">
        <x:v>0</x:v>
      </x:c>
      <x:c r="R512" t="n">
        <x:v>0</x:v>
      </x:c>
      <x:c r="S512" t="n">
        <x:v>0</x:v>
      </x:c>
      <x:c r="T512" t="n">
        <x:v>0</x:v>
      </x:c>
      <x:c r="U512" t="n">
        <x:v>0</x:v>
      </x:c>
      <x:c r="V512" t="n">
        <x:v>0</x:v>
      </x:c>
      <x:c r="W512" t="n">
        <x:v>1</x:v>
      </x:c>
      <x:c r="X512" t="n">
        <x:v>6000</x:v>
      </x:c>
      <x:c r="Y512" t="n">
        <x:v>11</x:v>
      </x:c>
      <x:c r="Z512" t="n">
        <x:v>25</x:v>
      </x:c>
      <x:c r="AA512" t="n">
        <x:f>IF(C512="","",IFERROR(W512*X512/Y512/Z512/D512,0))</x:f>
        <x:v>0.09090909090909091</x:v>
      </x:c>
      <x:c r="AB512" t="n">
        <x:v>0.999</x:v>
      </x:c>
      <x:c r="AC512" t="n">
        <x:f>IF(C512="","",IFERROR((I512+P512+(Q512+R512+S512+T512+U512+V512)/D512+AA512)/AB512,0))</x:f>
        <x:v>0.09389355082734249</x:v>
      </x:c>
    </x:row>
    <x:row r="513">
      <x:c r="A513" t="str">
        <x:v>WH170</x:v>
      </x:c>
      <x:c r="B513" t="str">
        <x:v>成品扫码</x:v>
      </x:c>
      <x:c r="C513" t="n">
        <x:v>5</x:v>
      </x:c>
      <x:c r="D513" t="n">
        <x:f>IF(C513="","",IFERROR(60*60/C513,0))</x:f>
        <x:v>720</x:v>
      </x:c>
      <x:c r="E513" t="n">
        <x:v>8</x:v>
      </x:c>
      <x:c r="F513" t="n">
        <x:v>22</x:v>
      </x:c>
      <x:c r="G513" t="n">
        <x:v>300</x:v>
      </x:c>
      <x:c r="H513" t="n">
        <x:v>20000</x:v>
      </x:c>
      <x:c r="I513" t="n">
        <x:f>IF(C513="","",IFERROR(H513/E513/F513/G513/D513,0))</x:f>
        <x:v>0.0005260942760942761</x:v>
      </x:c>
      <x:c r="J513" t="n">
        <x:v>0.62777055</x:v>
      </x:c>
      <x:c r="K513" t="n">
        <x:v>0.2</x:v>
      </x:c>
      <x:c r="L513" t="n">
        <x:f>IF(C513="","",IFERROR(J513*K513/D513,0))</x:f>
        <x:v>0.00017438070833333336</x:v>
      </x:c>
      <x:c r="M513" t="n">
        <x:v>3.7</x:v>
      </x:c>
      <x:c r="N513" t="n">
        <x:v>0</x:v>
      </x:c>
      <x:c r="O513" t="n">
        <x:f>IF(C513="","",IFERROR(M513*N513/D513,0))</x:f>
        <x:v>0</x:v>
      </x:c>
      <x:c r="P513" t="n">
        <x:f>IF(C513="","",L513+O513)</x:f>
        <x:v>0.00017438070833333336</x:v>
      </x:c>
      <x:c r="Q513" t="n">
        <x:v>0</x:v>
      </x:c>
      <x:c r="R513" t="n">
        <x:v>0</x:v>
      </x:c>
      <x:c r="S513" t="n">
        <x:v>0</x:v>
      </x:c>
      <x:c r="T513" t="n">
        <x:v>0</x:v>
      </x:c>
      <x:c r="U513" t="n">
        <x:v>0</x:v>
      </x:c>
      <x:c r="V513" t="n">
        <x:v>0</x:v>
      </x:c>
      <x:c r="W513" t="n">
        <x:v>1</x:v>
      </x:c>
      <x:c r="X513" t="n">
        <x:v>6000</x:v>
      </x:c>
      <x:c r="Y513" t="n">
        <x:v>11</x:v>
      </x:c>
      <x:c r="Z513" t="n">
        <x:v>25</x:v>
      </x:c>
      <x:c r="AA513" t="n">
        <x:f>IF(C513="","",IFERROR(W513*X513/Y513/Z513/D513,0))</x:f>
        <x:v>0.030303030303030307</x:v>
      </x:c>
      <x:c r="AB513" t="n">
        <x:v>0.999</x:v>
      </x:c>
      <x:c r="AC513" t="n">
        <x:f>IF(C513="","",IFERROR((I513+P513+(Q513+R513+S513+T513+U513+V513)/D513+AA513)/AB513,0))</x:f>
        <x:v>0.031034539827285202</x:v>
      </x:c>
    </x:row>
    <x:row r="514">
      <x:c r="A514" t="str">
        <x:v>WH180</x:v>
      </x:c>
      <x:c r="B514" t="str">
        <x:v>线束装袋/打包</x:v>
      </x:c>
      <x:c r="C514" t="n">
        <x:v>15</x:v>
      </x:c>
      <x:c r="D514" t="n">
        <x:f>IF(C514="","",IFERROR(60*60/C514,0))</x:f>
        <x:v>240</x:v>
      </x:c>
      <x:c r="E514" t="n">
        <x:v>8</x:v>
      </x:c>
      <x:c r="F514" t="n">
        <x:v>22</x:v>
      </x:c>
      <x:c r="G514" t="n">
        <x:v>300</x:v>
      </x:c>
      <x:c r="H514" t="n">
        <x:v>8000</x:v>
      </x:c>
      <x:c r="I514" t="n">
        <x:f>IF(C514="","",IFERROR(H514/E514/F514/G514/D514,0))</x:f>
        <x:v>0.0006313131313131314</x:v>
      </x:c>
      <x:c r="J514" t="n">
        <x:v>0.62777055</x:v>
      </x:c>
      <x:c r="K514" t="n">
        <x:v>0.1</x:v>
      </x:c>
      <x:c r="L514" t="n">
        <x:f>IF(C514="","",IFERROR(J514*K514/D514,0))</x:f>
        <x:v>0.00026157106250000007</x:v>
      </x:c>
      <x:c r="M514" t="n">
        <x:v>3.7</x:v>
      </x:c>
      <x:c r="N514" t="n">
        <x:v>0</x:v>
      </x:c>
      <x:c r="O514" t="n">
        <x:f>IF(C514="","",IFERROR(M514*N514/D514,0))</x:f>
        <x:v>0</x:v>
      </x:c>
      <x:c r="P514" t="n">
        <x:f>IF(C514="","",L514+O514)</x:f>
        <x:v>0.00026157106250000007</x:v>
      </x:c>
      <x:c r="Q514" t="n">
        <x:v>0</x:v>
      </x:c>
      <x:c r="R514" t="n">
        <x:v>0</x:v>
      </x:c>
      <x:c r="S514" t="n">
        <x:v>0</x:v>
      </x:c>
      <x:c r="T514" t="n">
        <x:v>0</x:v>
      </x:c>
      <x:c r="U514" t="n">
        <x:v>1</x:v>
      </x:c>
      <x:c r="V514" t="n">
        <x:v>0</x:v>
      </x:c>
      <x:c r="W514" t="n">
        <x:v>1</x:v>
      </x:c>
      <x:c r="X514" t="n">
        <x:v>6000</x:v>
      </x:c>
      <x:c r="Y514" t="n">
        <x:v>11</x:v>
      </x:c>
      <x:c r="Z514" t="n">
        <x:v>25</x:v>
      </x:c>
      <x:c r="AA514" t="n">
        <x:f>IF(C514="","",IFERROR(W514*X514/Y514/Z514/D514,0))</x:f>
        <x:v>0.09090909090909091</x:v>
      </x:c>
      <x:c r="AB514" t="n">
        <x:v>0.999</x:v>
      </x:c>
      <x:c r="AC514" t="n">
        <x:f>IF(C514="","",IFERROR((I514+P514+(Q514+R514+S514+T514+U514+V514)/D514+AA514)/AB514,0))</x:f>
        <x:v>0.09606470647604676</x:v>
      </x:c>
    </x:row>
    <x:row r="515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  <x:c r="AA515"/>
      <x:c r="AB515"/>
      <x:c r="AC515"/>
    </x:row>
    <x:row r="516">
      <x:c r="A516" t="str">
        <x:v>FPC柔性线路板工序</x:v>
      </x:c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  <x:c r="AA516"/>
      <x:c r="AB516"/>
      <x:c r="AC516"/>
    </x:row>
    <x:row r="517">
      <x:c r="A517" t="str">
        <x:v>FP01</x:v>
      </x:c>
      <x:c r="B517" t="str">
        <x:v>RTR贴膜</x:v>
      </x:c>
      <x:c r="C517" t="n">
        <x:v>4</x:v>
      </x:c>
      <x:c r="D517" t="n">
        <x:f>IF(C517="","",IFERROR(60*60/C517,0))</x:f>
        <x:v>900</x:v>
      </x:c>
      <x:c r="E517" t="n">
        <x:v>8</x:v>
      </x:c>
      <x:c r="F517" t="n">
        <x:v>22</x:v>
      </x:c>
      <x:c r="G517" t="n">
        <x:v>300</x:v>
      </x:c>
      <x:c r="H517" t="n">
        <x:v>1200000</x:v>
      </x:c>
      <x:c r="I517" t="n">
        <x:f>IF(C517="","",IFERROR(H517/E517/F517/G517/D517,0))</x:f>
        <x:v>0.025252525252525252</x:v>
      </x:c>
      <x:c r="J517" t="n">
        <x:v>0.62777055</x:v>
      </x:c>
      <x:c r="K517" t="n">
        <x:v>12</x:v>
      </x:c>
      <x:c r="L517" t="n">
        <x:f>IF(C517="","",IFERROR(J517*K517/D517,0))</x:f>
        <x:v>0.008370274</x:v>
      </x:c>
      <x:c r="M517" t="n">
        <x:v>3.7</x:v>
      </x:c>
      <x:c r="N517" t="n">
        <x:v>0</x:v>
      </x:c>
      <x:c r="O517" t="n">
        <x:f>IF(C517="","",IFERROR(M517*N517/D517,0))</x:f>
        <x:v>0</x:v>
      </x:c>
      <x:c r="P517" t="n">
        <x:f>IF(C517="","",L517+O517)</x:f>
        <x:v>0.008370274</x:v>
      </x:c>
      <x:c r="Q517" t="n">
        <x:v>0</x:v>
      </x:c>
      <x:c r="R517" t="n">
        <x:v>0</x:v>
      </x:c>
      <x:c r="S517" t="n">
        <x:v>0</x:v>
      </x:c>
      <x:c r="T517" t="n">
        <x:v>0</x:v>
      </x:c>
      <x:c r="U517" t="n">
        <x:v>2</x:v>
      </x:c>
      <x:c r="V517" t="n">
        <x:v>0</x:v>
      </x:c>
      <x:c r="W517" t="n">
        <x:v>2</x:v>
      </x:c>
      <x:c r="X517" t="n">
        <x:v>6000</x:v>
      </x:c>
      <x:c r="Y517" t="n">
        <x:v>11</x:v>
      </x:c>
      <x:c r="Z517" t="n">
        <x:v>25</x:v>
      </x:c>
      <x:c r="AA517" t="n">
        <x:f>IF(C517="","",IFERROR(W517*X517/Y517/Z517/D517,0))</x:f>
        <x:v>0.04848484848484849</x:v>
      </x:c>
      <x:c r="AB517" t="n">
        <x:v>0.99</x:v>
      </x:c>
      <x:c r="AC517" t="n">
        <x:f>IF(C517="","",IFERROR((I517+P517+(Q517+R517+S517+T517+U517+V517)/D517+AA517)/AB517,0))</x:f>
        <x:v>0.0851816868278747</x:v>
      </x:c>
    </x:row>
    <x:row r="518">
      <x:c r="A518" t="str">
        <x:v>FP02</x:v>
      </x:c>
      <x:c r="B518" t="str">
        <x:v>RTR曝光</x:v>
      </x:c>
      <x:c r="C518" t="n">
        <x:v>5</x:v>
      </x:c>
      <x:c r="D518" t="n">
        <x:f>IF(C518="","",IFERROR(60*60/C518,0))</x:f>
        <x:v>720</x:v>
      </x:c>
      <x:c r="E518" t="n">
        <x:v>8</x:v>
      </x:c>
      <x:c r="F518" t="n">
        <x:v>22</x:v>
      </x:c>
      <x:c r="G518" t="n">
        <x:v>300</x:v>
      </x:c>
      <x:c r="H518" t="n">
        <x:v>1800000</x:v>
      </x:c>
      <x:c r="I518" t="n">
        <x:f>IF(C518="","",IFERROR(H518/E518/F518/G518/D518,0))</x:f>
        <x:v>0.047348484848484855</x:v>
      </x:c>
      <x:c r="J518" t="n">
        <x:v>0.62777055</x:v>
      </x:c>
      <x:c r="K518" t="n">
        <x:v>18</x:v>
      </x:c>
      <x:c r="L518" t="n">
        <x:f>IF(C518="","",IFERROR(J518*K518/D518,0))</x:f>
        <x:v>0.01569426375</x:v>
      </x:c>
      <x:c r="M518" t="n">
        <x:v>3.7</x:v>
      </x:c>
      <x:c r="N518" t="n">
        <x:v>0</x:v>
      </x:c>
      <x:c r="O518" t="n">
        <x:f>IF(C518="","",IFERROR(M518*N518/D518,0))</x:f>
        <x:v>0</x:v>
      </x:c>
      <x:c r="P518" t="n">
        <x:f>IF(C518="","",L518+O518)</x:f>
        <x:v>0.01569426375</x:v>
      </x:c>
      <x:c r="Q518" t="n">
        <x:v>0</x:v>
      </x:c>
      <x:c r="R518" t="n">
        <x:v>0</x:v>
      </x:c>
      <x:c r="S518" t="n">
        <x:v>0</x:v>
      </x:c>
      <x:c r="T518" t="n">
        <x:v>0</x:v>
      </x:c>
      <x:c r="U518" t="n">
        <x:v>2</x:v>
      </x:c>
      <x:c r="V518" t="n">
        <x:v>0</x:v>
      </x:c>
      <x:c r="W518" t="n">
        <x:v>2</x:v>
      </x:c>
      <x:c r="X518" t="n">
        <x:v>6000</x:v>
      </x:c>
      <x:c r="Y518" t="n">
        <x:v>11</x:v>
      </x:c>
      <x:c r="Z518" t="n">
        <x:v>25</x:v>
      </x:c>
      <x:c r="AA518" t="n">
        <x:f>IF(C518="","",IFERROR(W518*X518/Y518/Z518/D518,0))</x:f>
        <x:v>0.060606060606060615</x:v>
      </x:c>
      <x:c r="AB518" t="n">
        <x:v>0.99</x:v>
      </x:c>
      <x:c r="AC518" t="n">
        <x:f>IF(C518="","",IFERROR((I518+P518+(Q518+R518+S518+T518+U518+V518)/D518+AA518)/AB518,0))</x:f>
        <x:v>0.12770362321446793</x:v>
      </x:c>
    </x:row>
    <x:row r="519">
      <x:c r="A519" t="str">
        <x:v>FP03</x:v>
      </x:c>
      <x:c r="B519" t="str">
        <x:v>显影</x:v>
      </x:c>
      <x:c r="C519" t="n">
        <x:v>4</x:v>
      </x:c>
      <x:c r="D519" t="n">
        <x:f>IF(C519="","",IFERROR(60*60/C519,0))</x:f>
        <x:v>900</x:v>
      </x:c>
      <x:c r="E519" t="n">
        <x:v>8</x:v>
      </x:c>
      <x:c r="F519" t="n">
        <x:v>22</x:v>
      </x:c>
      <x:c r="G519" t="n">
        <x:v>300</x:v>
      </x:c>
      <x:c r="H519" t="n">
        <x:v>1000000</x:v>
      </x:c>
      <x:c r="I519" t="n">
        <x:f>IF(C519="","",IFERROR(H519/E519/F519/G519/D519,0))</x:f>
        <x:v>0.021043771043771045</x:v>
      </x:c>
      <x:c r="J519" t="n">
        <x:v>0.62777055</x:v>
      </x:c>
      <x:c r="K519" t="n">
        <x:v>15</x:v>
      </x:c>
      <x:c r="L519" t="n">
        <x:f>IF(C519="","",IFERROR(J519*K519/D519,0))</x:f>
        <x:v>0.010462842500000001</x:v>
      </x:c>
      <x:c r="M519" t="n">
        <x:v>3.7</x:v>
      </x:c>
      <x:c r="N519" t="n">
        <x:v>0</x:v>
      </x:c>
      <x:c r="O519" t="n">
        <x:f>IF(C519="","",IFERROR(M519*N519/D519,0))</x:f>
        <x:v>0</x:v>
      </x:c>
      <x:c r="P519" t="n">
        <x:f>IF(C519="","",L519+O519)</x:f>
        <x:v>0.010462842500000001</x:v>
      </x:c>
      <x:c r="Q519" t="n">
        <x:v>0</x:v>
      </x:c>
      <x:c r="R519" t="n">
        <x:v>0</x:v>
      </x:c>
      <x:c r="S519" t="n">
        <x:v>2</x:v>
      </x:c>
      <x:c r="T519" t="n">
        <x:v>0</x:v>
      </x:c>
      <x:c r="U519" t="n">
        <x:v>2</x:v>
      </x:c>
      <x:c r="V519" t="n">
        <x:v>0</x:v>
      </x:c>
      <x:c r="W519" t="n">
        <x:v>1</x:v>
      </x:c>
      <x:c r="X519" t="n">
        <x:v>6000</x:v>
      </x:c>
      <x:c r="Y519" t="n">
        <x:v>11</x:v>
      </x:c>
      <x:c r="Z519" t="n">
        <x:v>25</x:v>
      </x:c>
      <x:c r="AA519" t="n">
        <x:f>IF(C519="","",IFERROR(W519*X519/Y519/Z519/D519,0))</x:f>
        <x:v>0.024242424242424246</x:v>
      </x:c>
      <x:c r="AB519" t="n">
        <x:v>0.99</x:v>
      </x:c>
      <x:c r="AC519" t="n">
        <x:f>IF(C519="","",IFERROR((I519+P519+(Q519+R519+S519+T519+U519+V519)/D519+AA519)/AB519,0))</x:f>
        <x:v>0.0608014972026664</x:v>
      </x:c>
    </x:row>
    <x:row r="520">
      <x:c r="A520" t="str">
        <x:v>FP04</x:v>
      </x:c>
      <x:c r="B520" t="str">
        <x:v>去干膜（未反应）</x:v>
      </x:c>
      <x:c r="C520" t="n">
        <x:v>4</x:v>
      </x:c>
      <x:c r="D520" t="n">
        <x:f>IF(C520="","",IFERROR(60*60/C520,0))</x:f>
        <x:v>900</x:v>
      </x:c>
      <x:c r="E520" t="n">
        <x:v>8</x:v>
      </x:c>
      <x:c r="F520" t="n">
        <x:v>22</x:v>
      </x:c>
      <x:c r="G520" t="n">
        <x:v>300</x:v>
      </x:c>
      <x:c r="H520" t="n">
        <x:v>900000</x:v>
      </x:c>
      <x:c r="I520" t="n">
        <x:f>IF(C520="","",IFERROR(H520/E520/F520/G520/D520,0))</x:f>
        <x:v>0.01893939393939394</x:v>
      </x:c>
      <x:c r="J520" t="n">
        <x:v>0.62777055</x:v>
      </x:c>
      <x:c r="K520" t="n">
        <x:v>12</x:v>
      </x:c>
      <x:c r="L520" t="n">
        <x:f>IF(C520="","",IFERROR(J520*K520/D520,0))</x:f>
        <x:v>0.008370274</x:v>
      </x:c>
      <x:c r="M520" t="n">
        <x:v>3.7</x:v>
      </x:c>
      <x:c r="N520" t="n">
        <x:v>0</x:v>
      </x:c>
      <x:c r="O520" t="n">
        <x:f>IF(C520="","",IFERROR(M520*N520/D520,0))</x:f>
        <x:v>0</x:v>
      </x:c>
      <x:c r="P520" t="n">
        <x:f>IF(C520="","",L520+O520)</x:f>
        <x:v>0.008370274</x:v>
      </x:c>
      <x:c r="Q520" t="n">
        <x:v>0</x:v>
      </x:c>
      <x:c r="R520" t="n">
        <x:v>0</x:v>
      </x:c>
      <x:c r="S520" t="n">
        <x:v>2</x:v>
      </x:c>
      <x:c r="T520" t="n">
        <x:v>0</x:v>
      </x:c>
      <x:c r="U520" t="n">
        <x:v>2</x:v>
      </x:c>
      <x:c r="V520" t="n">
        <x:v>0</x:v>
      </x:c>
      <x:c r="W520" t="n">
        <x:v>1</x:v>
      </x:c>
      <x:c r="X520" t="n">
        <x:v>6000</x:v>
      </x:c>
      <x:c r="Y520" t="n">
        <x:v>11</x:v>
      </x:c>
      <x:c r="Z520" t="n">
        <x:v>25</x:v>
      </x:c>
      <x:c r="AA520" t="n">
        <x:f>IF(C520="","",IFERROR(W520*X520/Y520/Z520/D520,0))</x:f>
        <x:v>0.024242424242424246</x:v>
      </x:c>
      <x:c r="AB520" t="n">
        <x:v>0.99</x:v>
      </x:c>
      <x:c r="AC520" t="n">
        <x:f>IF(C520="","",IFERROR((I520+P520+(Q520+R520+S520+T520+U520+V520)/D520+AA520)/AB520,0))</x:f>
        <x:v>0.05656215820834609</x:v>
      </x:c>
    </x:row>
    <x:row r="521">
      <x:c r="A521" t="str">
        <x:v>FP05</x:v>
      </x:c>
      <x:c r="B521" t="str">
        <x:v>线路蚀刻</x:v>
      </x:c>
      <x:c r="C521" t="n">
        <x:v>5</x:v>
      </x:c>
      <x:c r="D521" t="n">
        <x:f>IF(C521="","",IFERROR(60*60/C521,0))</x:f>
        <x:v>720</x:v>
      </x:c>
      <x:c r="E521" t="n">
        <x:v>8</x:v>
      </x:c>
      <x:c r="F521" t="n">
        <x:v>22</x:v>
      </x:c>
      <x:c r="G521" t="n">
        <x:v>300</x:v>
      </x:c>
      <x:c r="H521" t="n">
        <x:v>1500000</x:v>
      </x:c>
      <x:c r="I521" t="n">
        <x:f>IF(C521="","",IFERROR(H521/E521/F521/G521/D521,0))</x:f>
        <x:v>0.039457070707070704</x:v>
      </x:c>
      <x:c r="J521" t="n">
        <x:v>0.62777055</x:v>
      </x:c>
      <x:c r="K521" t="n">
        <x:v>25</x:v>
      </x:c>
      <x:c r="L521" t="n">
        <x:f>IF(C521="","",IFERROR(J521*K521/D521,0))</x:f>
        <x:v>0.02179758854166667</x:v>
      </x:c>
      <x:c r="M521" t="n">
        <x:v>3.7</x:v>
      </x:c>
      <x:c r="N521" t="n">
        <x:v>0</x:v>
      </x:c>
      <x:c r="O521" t="n">
        <x:f>IF(C521="","",IFERROR(M521*N521/D521,0))</x:f>
        <x:v>0</x:v>
      </x:c>
      <x:c r="P521" t="n">
        <x:f>IF(C521="","",L521+O521)</x:f>
        <x:v>0.02179758854166667</x:v>
      </x:c>
      <x:c r="Q521" t="n">
        <x:v>0</x:v>
      </x:c>
      <x:c r="R521" t="n">
        <x:v>0</x:v>
      </x:c>
      <x:c r="S521" t="n">
        <x:v>3</x:v>
      </x:c>
      <x:c r="T521" t="n">
        <x:v>0</x:v>
      </x:c>
      <x:c r="U521" t="n">
        <x:v>4</x:v>
      </x:c>
      <x:c r="V521" t="n">
        <x:v>0</x:v>
      </x:c>
      <x:c r="W521" t="n">
        <x:v>2</x:v>
      </x:c>
      <x:c r="X521" t="n">
        <x:v>6000</x:v>
      </x:c>
      <x:c r="Y521" t="n">
        <x:v>11</x:v>
      </x:c>
      <x:c r="Z521" t="n">
        <x:v>25</x:v>
      </x:c>
      <x:c r="AA521" t="n">
        <x:f>IF(C521="","",IFERROR(W521*X521/Y521/Z521/D521,0))</x:f>
        <x:v>0.060606060606060615</x:v>
      </x:c>
      <x:c r="AB521" t="n">
        <x:v>0.985</x:v>
      </x:c>
      <x:c r="AC521" t="n">
        <x:f>IF(C521="","",IFERROR((I521+P521+(Q521+R521+S521+T521+U521+V521)/D521+AA521)/AB521,0))</x:f>
        <x:v>0.13358674322540123</x:v>
      </x:c>
    </x:row>
    <x:row r="522">
      <x:c r="A522" t="str">
        <x:v>FP06</x:v>
      </x:c>
      <x:c r="B522" t="str">
        <x:v>冲洗1</x:v>
      </x:c>
      <x:c r="C522" t="n">
        <x:v>3</x:v>
      </x:c>
      <x:c r="D522" t="n">
        <x:f>IF(C522="","",IFERROR(60*60/C522,0))</x:f>
        <x:v>1200</x:v>
      </x:c>
      <x:c r="E522" t="n">
        <x:v>8</x:v>
      </x:c>
      <x:c r="F522" t="n">
        <x:v>22</x:v>
      </x:c>
      <x:c r="G522" t="n">
        <x:v>300</x:v>
      </x:c>
      <x:c r="H522" t="n">
        <x:v>450000</x:v>
      </x:c>
      <x:c r="I522" t="n">
        <x:f>IF(C522="","",IFERROR(H522/E522/F522/G522/D522,0))</x:f>
        <x:v>0.007102272727272728</x:v>
      </x:c>
      <x:c r="J522" t="n">
        <x:v>0.62777055</x:v>
      </x:c>
      <x:c r="K522" t="n">
        <x:v>8</x:v>
      </x:c>
      <x:c r="L522" t="n">
        <x:f>IF(C522="","",IFERROR(J522*K522/D522,0))</x:f>
        <x:v>0.004185137</x:v>
      </x:c>
      <x:c r="M522" t="n">
        <x:v>3.7</x:v>
      </x:c>
      <x:c r="N522" t="n">
        <x:v>0</x:v>
      </x:c>
      <x:c r="O522" t="n">
        <x:f>IF(C522="","",IFERROR(M522*N522/D522,0))</x:f>
        <x:v>0</x:v>
      </x:c>
      <x:c r="P522" t="n">
        <x:f>IF(C522="","",L522+O522)</x:f>
        <x:v>0.004185137</x:v>
      </x:c>
      <x:c r="Q522" t="n">
        <x:v>0</x:v>
      </x:c>
      <x:c r="R522" t="n">
        <x:v>0</x:v>
      </x:c>
      <x:c r="S522" t="n">
        <x:v>3</x:v>
      </x:c>
      <x:c r="T522" t="n">
        <x:v>0</x:v>
      </x:c>
      <x:c r="U522" t="n">
        <x:v>0</x:v>
      </x:c>
      <x:c r="V522" t="n">
        <x:v>0</x:v>
      </x:c>
      <x:c r="W522" t="n">
        <x:v>1</x:v>
      </x:c>
      <x:c r="X522" t="n">
        <x:v>6000</x:v>
      </x:c>
      <x:c r="Y522" t="n">
        <x:v>11</x:v>
      </x:c>
      <x:c r="Z522" t="n">
        <x:v>25</x:v>
      </x:c>
      <x:c r="AA522" t="n">
        <x:f>IF(C522="","",IFERROR(W522*X522/Y522/Z522/D522,0))</x:f>
        <x:v>0.018181818181818184</x:v>
      </x:c>
      <x:c r="AB522" t="n">
        <x:v>0.995</x:v>
      </x:c>
      <x:c r="AC522" t="n">
        <x:f>IF(C522="","",IFERROR((I522+P522+(Q522+R522+S522+T522+U522+V522)/D522+AA522)/AB522,0))</x:f>
        <x:v>0.03212987729556876</x:v>
      </x:c>
    </x:row>
    <x:row r="523">
      <x:c r="A523" t="str">
        <x:v>FP07</x:v>
      </x:c>
      <x:c r="B523" t="str">
        <x:v>冲洗2（去保护线路蚀刻膜）</x:v>
      </x:c>
      <x:c r="C523" t="n">
        <x:v>4</x:v>
      </x:c>
      <x:c r="D523" t="n">
        <x:f>IF(C523="","",IFERROR(60*60/C523,0))</x:f>
        <x:v>900</x:v>
      </x:c>
      <x:c r="E523" t="n">
        <x:v>8</x:v>
      </x:c>
      <x:c r="F523" t="n">
        <x:v>22</x:v>
      </x:c>
      <x:c r="G523" t="n">
        <x:v>300</x:v>
      </x:c>
      <x:c r="H523" t="n">
        <x:v>600000</x:v>
      </x:c>
      <x:c r="I523" t="n">
        <x:f>IF(C523="","",IFERROR(H523/E523/F523/G523/D523,0))</x:f>
        <x:v>0.012626262626262626</x:v>
      </x:c>
      <x:c r="J523" t="n">
        <x:v>0.62777055</x:v>
      </x:c>
      <x:c r="K523" t="n">
        <x:v>10</x:v>
      </x:c>
      <x:c r="L523" t="n">
        <x:f>IF(C523="","",IFERROR(J523*K523/D523,0))</x:f>
        <x:v>0.006975228333333334</x:v>
      </x:c>
      <x:c r="M523" t="n">
        <x:v>3.7</x:v>
      </x:c>
      <x:c r="N523" t="n">
        <x:v>0</x:v>
      </x:c>
      <x:c r="O523" t="n">
        <x:f>IF(C523="","",IFERROR(M523*N523/D523,0))</x:f>
        <x:v>0</x:v>
      </x:c>
      <x:c r="P523" t="n">
        <x:f>IF(C523="","",L523+O523)</x:f>
        <x:v>0.006975228333333334</x:v>
      </x:c>
      <x:c r="Q523" t="n">
        <x:v>0</x:v>
      </x:c>
      <x:c r="R523" t="n">
        <x:v>0</x:v>
      </x:c>
      <x:c r="S523" t="n">
        <x:v>3</x:v>
      </x:c>
      <x:c r="T523" t="n">
        <x:v>0</x:v>
      </x:c>
      <x:c r="U523" t="n">
        <x:v>1</x:v>
      </x:c>
      <x:c r="V523" t="n">
        <x:v>0</x:v>
      </x:c>
      <x:c r="W523" t="n">
        <x:v>1</x:v>
      </x:c>
      <x:c r="X523" t="n">
        <x:v>6000</x:v>
      </x:c>
      <x:c r="Y523" t="n">
        <x:v>11</x:v>
      </x:c>
      <x:c r="Z523" t="n">
        <x:v>25</x:v>
      </x:c>
      <x:c r="AA523" t="n">
        <x:f>IF(C523="","",IFERROR(W523*X523/Y523/Z523/D523,0))</x:f>
        <x:v>0.024242424242424246</x:v>
      </x:c>
      <x:c r="AB523" t="n">
        <x:v>0.995</x:v>
      </x:c>
      <x:c r="AC523" t="n">
        <x:f>IF(C523="","",IFERROR((I523+P523+(Q523+R523+S523+T523+U523+V523)/D523+AA523)/AB523,0))</x:f>
        <x:v>0.04853101472006497</x:v>
      </x:c>
    </x:row>
    <x:row r="524">
      <x:c r="A524" t="str">
        <x:v>FP08</x:v>
      </x:c>
      <x:c r="B524" t="str">
        <x:v>冲洗3</x:v>
      </x:c>
      <x:c r="C524" t="n">
        <x:v>3</x:v>
      </x:c>
      <x:c r="D524" t="n">
        <x:f>IF(C524="","",IFERROR(60*60/C524,0))</x:f>
        <x:v>1200</x:v>
      </x:c>
      <x:c r="E524" t="n">
        <x:v>8</x:v>
      </x:c>
      <x:c r="F524" t="n">
        <x:v>22</x:v>
      </x:c>
      <x:c r="G524" t="n">
        <x:v>300</x:v>
      </x:c>
      <x:c r="H524" t="n">
        <x:v>450000</x:v>
      </x:c>
      <x:c r="I524" t="n">
        <x:f>IF(C524="","",IFERROR(H524/E524/F524/G524/D524,0))</x:f>
        <x:v>0.007102272727272728</x:v>
      </x:c>
      <x:c r="J524" t="n">
        <x:v>0.62777055</x:v>
      </x:c>
      <x:c r="K524" t="n">
        <x:v>8</x:v>
      </x:c>
      <x:c r="L524" t="n">
        <x:f>IF(C524="","",IFERROR(J524*K524/D524,0))</x:f>
        <x:v>0.004185137</x:v>
      </x:c>
      <x:c r="M524" t="n">
        <x:v>3.7</x:v>
      </x:c>
      <x:c r="N524" t="n">
        <x:v>0</x:v>
      </x:c>
      <x:c r="O524" t="n">
        <x:f>IF(C524="","",IFERROR(M524*N524/D524,0))</x:f>
        <x:v>0</x:v>
      </x:c>
      <x:c r="P524" t="n">
        <x:f>IF(C524="","",L524+O524)</x:f>
        <x:v>0.004185137</x:v>
      </x:c>
      <x:c r="Q524" t="n">
        <x:v>0</x:v>
      </x:c>
      <x:c r="R524" t="n">
        <x:v>0</x:v>
      </x:c>
      <x:c r="S524" t="n">
        <x:v>3</x:v>
      </x:c>
      <x:c r="T524" t="n">
        <x:v>0</x:v>
      </x:c>
      <x:c r="U524" t="n">
        <x:v>0</x:v>
      </x:c>
      <x:c r="V524" t="n">
        <x:v>0</x:v>
      </x:c>
      <x:c r="W524" t="n">
        <x:v>1</x:v>
      </x:c>
      <x:c r="X524" t="n">
        <x:v>6000</x:v>
      </x:c>
      <x:c r="Y524" t="n">
        <x:v>11</x:v>
      </x:c>
      <x:c r="Z524" t="n">
        <x:v>25</x:v>
      </x:c>
      <x:c r="AA524" t="n">
        <x:f>IF(C524="","",IFERROR(W524*X524/Y524/Z524/D524,0))</x:f>
        <x:v>0.018181818181818184</x:v>
      </x:c>
      <x:c r="AB524" t="n">
        <x:v>0.995</x:v>
      </x:c>
      <x:c r="AC524" t="n">
        <x:f>IF(C524="","",IFERROR((I524+P524+(Q524+R524+S524+T524+U524+V524)/D524+AA524)/AB524,0))</x:f>
        <x:v>0.03212987729556876</x:v>
      </x:c>
    </x:row>
    <x:row r="525">
      <x:c r="A525" t="str">
        <x:v>FP09</x:v>
      </x:c>
      <x:c r="B525" t="str">
        <x:v>烘干</x:v>
      </x:c>
      <x:c r="C525" t="n">
        <x:v>6</x:v>
      </x:c>
      <x:c r="D525" t="n">
        <x:f>IF(C525="","",IFERROR(60*60/C525,0))</x:f>
        <x:v>600</x:v>
      </x:c>
      <x:c r="E525" t="n">
        <x:v>8</x:v>
      </x:c>
      <x:c r="F525" t="n">
        <x:v>22</x:v>
      </x:c>
      <x:c r="G525" t="n">
        <x:v>300</x:v>
      </x:c>
      <x:c r="H525" t="n">
        <x:v>500000</x:v>
      </x:c>
      <x:c r="I525" t="n">
        <x:f>IF(C525="","",IFERROR(H525/E525/F525/G525/D525,0))</x:f>
        <x:v>0.015782828282828284</x:v>
      </x:c>
      <x:c r="J525" t="n">
        <x:v>0.62777055</x:v>
      </x:c>
      <x:c r="K525" t="n">
        <x:v>25</x:v>
      </x:c>
      <x:c r="L525" t="n">
        <x:f>IF(C525="","",IFERROR(J525*K525/D525,0))</x:f>
        <x:v>0.026157106250000003</x:v>
      </x:c>
      <x:c r="M525" t="n">
        <x:v>3.7</x:v>
      </x:c>
      <x:c r="N525" t="n">
        <x:v>0</x:v>
      </x:c>
      <x:c r="O525" t="n">
        <x:f>IF(C525="","",IFERROR(M525*N525/D525,0))</x:f>
        <x:v>0</x:v>
      </x:c>
      <x:c r="P525" t="n">
        <x:f>IF(C525="","",L525+O525)</x:f>
        <x:v>0.026157106250000003</x:v>
      </x:c>
      <x:c r="Q525" t="n">
        <x:v>0</x:v>
      </x:c>
      <x:c r="R525" t="n">
        <x:v>0</x:v>
      </x:c>
      <x:c r="S525" t="n">
        <x:v>0</x:v>
      </x:c>
      <x:c r="T525" t="n">
        <x:v>0</x:v>
      </x:c>
      <x:c r="U525" t="n">
        <x:v>0</x:v>
      </x:c>
      <x:c r="V525" t="n">
        <x:v>0</x:v>
      </x:c>
      <x:c r="W525" t="n">
        <x:v>1</x:v>
      </x:c>
      <x:c r="X525" t="n">
        <x:v>6000</x:v>
      </x:c>
      <x:c r="Y525" t="n">
        <x:v>11</x:v>
      </x:c>
      <x:c r="Z525" t="n">
        <x:v>25</x:v>
      </x:c>
      <x:c r="AA525" t="n">
        <x:f>IF(C525="","",IFERROR(W525*X525/Y525/Z525/D525,0))</x:f>
        <x:v>0.03636363636363637</x:v>
      </x:c>
      <x:c r="AB525" t="n">
        <x:v>0.995</x:v>
      </x:c>
      <x:c r="AC525" t="n">
        <x:f>IF(C525="","",IFERROR((I525+P525+(Q525+R525+S525+T525+U525+V525)/D525+AA525)/AB525,0))</x:f>
        <x:v>0.07869705617735141</x:v>
      </x:c>
    </x:row>
    <x:row r="526">
      <x:c r="A526" t="str">
        <x:v>FP10</x:v>
      </x:c>
      <x:c r="B526" t="str">
        <x:v>靶冲（定位孔）</x:v>
      </x:c>
      <x:c r="C526" t="n">
        <x:v>3</x:v>
      </x:c>
      <x:c r="D526" t="n">
        <x:f>IF(C526="","",IFERROR(60*60/C526,0))</x:f>
        <x:v>1200</x:v>
      </x:c>
      <x:c r="E526" t="n">
        <x:v>8</x:v>
      </x:c>
      <x:c r="F526" t="n">
        <x:v>22</x:v>
      </x:c>
      <x:c r="G526" t="n">
        <x:v>300</x:v>
      </x:c>
      <x:c r="H526" t="n">
        <x:v>380000</x:v>
      </x:c>
      <x:c r="I526" t="n">
        <x:f>IF(C526="","",IFERROR(H526/E526/F526/G526/D526,0))</x:f>
        <x:v>0.005997474747474747</x:v>
      </x:c>
      <x:c r="J526" t="n">
        <x:v>0.62777055</x:v>
      </x:c>
      <x:c r="K526" t="n">
        <x:v>5</x:v>
      </x:c>
      <x:c r="L526" t="n">
        <x:f>IF(C526="","",IFERROR(J526*K526/D526,0))</x:f>
        <x:v>0.0026157106250000004</x:v>
      </x:c>
      <x:c r="M526" t="n">
        <x:v>3.7</x:v>
      </x:c>
      <x:c r="N526" t="n">
        <x:v>0</x:v>
      </x:c>
      <x:c r="O526" t="n">
        <x:f>IF(C526="","",IFERROR(M526*N526/D526,0))</x:f>
        <x:v>0</x:v>
      </x:c>
      <x:c r="P526" t="n">
        <x:f>IF(C526="","",L526+O526)</x:f>
        <x:v>0.0026157106250000004</x:v>
      </x:c>
      <x:c r="Q526" t="n">
        <x:v>0</x:v>
      </x:c>
      <x:c r="R526" t="n">
        <x:v>0</x:v>
      </x:c>
      <x:c r="S526" t="n">
        <x:v>0</x:v>
      </x:c>
      <x:c r="T526" t="n">
        <x:v>2</x:v>
      </x:c>
      <x:c r="U526" t="n">
        <x:v>0</x:v>
      </x:c>
      <x:c r="V526" t="n">
        <x:v>0</x:v>
      </x:c>
      <x:c r="W526" t="n">
        <x:v>1</x:v>
      </x:c>
      <x:c r="X526" t="n">
        <x:v>6000</x:v>
      </x:c>
      <x:c r="Y526" t="n">
        <x:v>11</x:v>
      </x:c>
      <x:c r="Z526" t="n">
        <x:v>25</x:v>
      </x:c>
      <x:c r="AA526" t="n">
        <x:f>IF(C526="","",IFERROR(W526*X526/Y526/Z526/D526,0))</x:f>
        <x:v>0.018181818181818184</x:v>
      </x:c>
      <x:c r="AB526" t="n">
        <x:v>0.995</x:v>
      </x:c>
      <x:c r="AC526" t="n">
        <x:f>IF(C526="","",IFERROR((I526+P526+(Q526+R526+S526+T526+U526+V526)/D526+AA526)/AB526,0))</x:f>
        <x:v>0.028604693689406633</x:v>
      </x:c>
    </x:row>
    <x:row r="527">
      <x:c r="A527" t="str">
        <x:v>FP11</x:v>
      </x:c>
      <x:c r="B527" t="str">
        <x:v>线路AOI检测</x:v>
      </x:c>
      <x:c r="C527" t="n">
        <x:v>5</x:v>
      </x:c>
      <x:c r="D527" t="n">
        <x:f>IF(C527="","",IFERROR(60*60/C527,0))</x:f>
        <x:v>720</x:v>
      </x:c>
      <x:c r="E527" t="n">
        <x:v>8</x:v>
      </x:c>
      <x:c r="F527" t="n">
        <x:v>22</x:v>
      </x:c>
      <x:c r="G527" t="n">
        <x:v>300</x:v>
      </x:c>
      <x:c r="H527" t="n">
        <x:v>900000</x:v>
      </x:c>
      <x:c r="I527" t="n">
        <x:f>IF(C527="","",IFERROR(H527/E527/F527/G527/D527,0))</x:f>
        <x:v>0.023674242424242428</x:v>
      </x:c>
      <x:c r="J527" t="n">
        <x:v>0.62777055</x:v>
      </x:c>
      <x:c r="K527" t="n">
        <x:v>3</x:v>
      </x:c>
      <x:c r="L527" t="n">
        <x:f>IF(C527="","",IFERROR(J527*K527/D527,0))</x:f>
        <x:v>0.002615710625</x:v>
      </x:c>
      <x:c r="M527" t="n">
        <x:v>3.7</x:v>
      </x:c>
      <x:c r="N527" t="n">
        <x:v>0</x:v>
      </x:c>
      <x:c r="O527" t="n">
        <x:f>IF(C527="","",IFERROR(M527*N527/D527,0))</x:f>
        <x:v>0</x:v>
      </x:c>
      <x:c r="P527" t="n">
        <x:f>IF(C527="","",L527+O527)</x:f>
        <x:v>0.002615710625</x:v>
      </x:c>
      <x:c r="Q527" t="n">
        <x:v>0</x:v>
      </x:c>
      <x:c r="R527" t="n">
        <x:v>0</x:v>
      </x:c>
      <x:c r="S527" t="n">
        <x:v>0</x:v>
      </x:c>
      <x:c r="T527" t="n">
        <x:v>0</x:v>
      </x:c>
      <x:c r="U527" t="n">
        <x:v>0</x:v>
      </x:c>
      <x:c r="V527" t="n">
        <x:v>0</x:v>
      </x:c>
      <x:c r="W527" t="n">
        <x:v>1</x:v>
      </x:c>
      <x:c r="X527" t="n">
        <x:v>6000</x:v>
      </x:c>
      <x:c r="Y527" t="n">
        <x:v>11</x:v>
      </x:c>
      <x:c r="Z527" t="n">
        <x:v>25</x:v>
      </x:c>
      <x:c r="AA527" t="n">
        <x:f>IF(C527="","",IFERROR(W527*X527/Y527/Z527/D527,0))</x:f>
        <x:v>0.030303030303030307</x:v>
      </x:c>
      <x:c r="AB527" t="n">
        <x:v>0.998</x:v>
      </x:c>
      <x:c r="AC527" t="n">
        <x:f>IF(C527="","",IFERROR((I527+P527+(Q527+R527+S527+T527+U527+V527)/D527+AA527)/AB527,0))</x:f>
        <x:v>0.05670639614456186</x:v>
      </x:c>
    </x:row>
    <x:row r="528">
      <x:c r="A528" t="str">
        <x:v>FP12</x:v>
      </x:c>
      <x:c r="B528" t="str">
        <x:v>保护膜贴合/压合（PI保护膜）</x:v>
      </x:c>
      <x:c r="C528" t="n">
        <x:v>8</x:v>
      </x:c>
      <x:c r="D528" t="n">
        <x:f>IF(C528="","",IFERROR(60*60/C528,0))</x:f>
        <x:v>450</x:v>
      </x:c>
      <x:c r="E528" t="n">
        <x:v>8</x:v>
      </x:c>
      <x:c r="F528" t="n">
        <x:v>22</x:v>
      </x:c>
      <x:c r="G528" t="n">
        <x:v>300</x:v>
      </x:c>
      <x:c r="H528" t="n">
        <x:v>850000</x:v>
      </x:c>
      <x:c r="I528" t="n">
        <x:f>IF(C528="","",IFERROR(H528/E528/F528/G528/D528,0))</x:f>
        <x:v>0.03577441077441078</x:v>
      </x:c>
      <x:c r="J528" t="n">
        <x:v>0.62777055</x:v>
      </x:c>
      <x:c r="K528" t="n">
        <x:v>12</x:v>
      </x:c>
      <x:c r="L528" t="n">
        <x:f>IF(C528="","",IFERROR(J528*K528/D528,0))</x:f>
        <x:v>0.016740548</x:v>
      </x:c>
      <x:c r="M528" t="n">
        <x:v>3.7</x:v>
      </x:c>
      <x:c r="N528" t="n">
        <x:v>0</x:v>
      </x:c>
      <x:c r="O528" t="n">
        <x:f>IF(C528="","",IFERROR(M528*N528/D528,0))</x:f>
        <x:v>0</x:v>
      </x:c>
      <x:c r="P528" t="n">
        <x:f>IF(C528="","",L528+O528)</x:f>
        <x:v>0.016740548</x:v>
      </x:c>
      <x:c r="Q528" t="n">
        <x:v>0</x:v>
      </x:c>
      <x:c r="R528" t="n">
        <x:v>0</x:v>
      </x:c>
      <x:c r="S528" t="n">
        <x:v>0</x:v>
      </x:c>
      <x:c r="T528" t="n">
        <x:v>0</x:v>
      </x:c>
      <x:c r="U528" t="n">
        <x:v>2</x:v>
      </x:c>
      <x:c r="V528" t="n">
        <x:v>0</x:v>
      </x:c>
      <x:c r="W528" t="n">
        <x:v>2</x:v>
      </x:c>
      <x:c r="X528" t="n">
        <x:v>6000</x:v>
      </x:c>
      <x:c r="Y528" t="n">
        <x:v>11</x:v>
      </x:c>
      <x:c r="Z528" t="n">
        <x:v>25</x:v>
      </x:c>
      <x:c r="AA528" t="n">
        <x:f>IF(C528="","",IFERROR(W528*X528/Y528/Z528/D528,0))</x:f>
        <x:v>0.09696969696969698</x:v>
      </x:c>
      <x:c r="AB528" t="n">
        <x:v>0.99</x:v>
      </x:c>
      <x:c r="AC528" t="n">
        <x:f>IF(C528="","",IFERROR((I528+P528+(Q528+R528+S528+T528+U528+V528)/D528+AA528)/AB528,0))</x:f>
        <x:v>0.15548393958439619</x:v>
      </x:c>
    </x:row>
    <x:row r="529">
      <x:c r="A529" t="str">
        <x:v>FP13</x:v>
      </x:c>
      <x:c r="B529" t="str">
        <x:v>保护膜热压及烘烤</x:v>
      </x:c>
      <x:c r="C529" t="n">
        <x:v>10</x:v>
      </x:c>
      <x:c r="D529" t="n">
        <x:f>IF(C529="","",IFERROR(60*60/C529,0))</x:f>
        <x:v>360</x:v>
      </x:c>
      <x:c r="E529" t="n">
        <x:v>8</x:v>
      </x:c>
      <x:c r="F529" t="n">
        <x:v>22</x:v>
      </x:c>
      <x:c r="G529" t="n">
        <x:v>300</x:v>
      </x:c>
      <x:c r="H529" t="n">
        <x:v>1200000</x:v>
      </x:c>
      <x:c r="I529" t="n">
        <x:f>IF(C529="","",IFERROR(H529/E529/F529/G529/D529,0))</x:f>
        <x:v>0.06313131313131314</x:v>
      </x:c>
      <x:c r="J529" t="n">
        <x:v>0.62777055</x:v>
      </x:c>
      <x:c r="K529" t="n">
        <x:v>35</x:v>
      </x:c>
      <x:c r="L529" t="n">
        <x:f>IF(C529="","",IFERROR(J529*K529/D529,0))</x:f>
        <x:v>0.06103324791666667</x:v>
      </x:c>
      <x:c r="M529" t="n">
        <x:v>3.7</x:v>
      </x:c>
      <x:c r="N529" t="n">
        <x:v>0</x:v>
      </x:c>
      <x:c r="O529" t="n">
        <x:f>IF(C529="","",IFERROR(M529*N529/D529,0))</x:f>
        <x:v>0</x:v>
      </x:c>
      <x:c r="P529" t="n">
        <x:f>IF(C529="","",L529+O529)</x:f>
        <x:v>0.06103324791666667</x:v>
      </x:c>
      <x:c r="Q529" t="n">
        <x:v>0</x:v>
      </x:c>
      <x:c r="R529" t="n">
        <x:v>0</x:v>
      </x:c>
      <x:c r="S529" t="n">
        <x:v>0</x:v>
      </x:c>
      <x:c r="T529" t="n">
        <x:v>0</x:v>
      </x:c>
      <x:c r="U529" t="n">
        <x:v>0</x:v>
      </x:c>
      <x:c r="V529" t="n">
        <x:v>0</x:v>
      </x:c>
      <x:c r="W529" t="n">
        <x:v>2</x:v>
      </x:c>
      <x:c r="X529" t="n">
        <x:v>6000</x:v>
      </x:c>
      <x:c r="Y529" t="n">
        <x:v>11</x:v>
      </x:c>
      <x:c r="Z529" t="n">
        <x:v>25</x:v>
      </x:c>
      <x:c r="AA529" t="n">
        <x:f>IF(C529="","",IFERROR(W529*X529/Y529/Z529/D529,0))</x:f>
        <x:v>0.12121212121212123</x:v>
      </x:c>
      <x:c r="AB529" t="n">
        <x:v>0.99</x:v>
      </x:c>
      <x:c r="AC529" t="n">
        <x:f>IF(C529="","",IFERROR((I529+P529+(Q529+R529+S529+T529+U529+V529)/D529+AA529)/AB529,0))</x:f>
        <x:v>0.24785523460616266</x:v>
      </x:c>
    </x:row>
    <x:row r="530">
      <x:c r="A530" t="str">
        <x:v>FP14</x:v>
      </x:c>
      <x:c r="B530" t="str">
        <x:v>OSP表面处理</x:v>
      </x:c>
      <x:c r="C530" t="n">
        <x:v>5</x:v>
      </x:c>
      <x:c r="D530" t="n">
        <x:f>IF(C530="","",IFERROR(60*60/C530,0))</x:f>
        <x:v>720</x:v>
      </x:c>
      <x:c r="E530" t="n">
        <x:v>8</x:v>
      </x:c>
      <x:c r="F530" t="n">
        <x:v>22</x:v>
      </x:c>
      <x:c r="G530" t="n">
        <x:v>300</x:v>
      </x:c>
      <x:c r="H530" t="n">
        <x:v>1100000</x:v>
      </x:c>
      <x:c r="I530" t="n">
        <x:f>IF(C530="","",IFERROR(H530/E530/F530/G530/D530,0))</x:f>
        <x:v>0.028935185185185182</x:v>
      </x:c>
      <x:c r="J530" t="n">
        <x:v>0.62777055</x:v>
      </x:c>
      <x:c r="K530" t="n">
        <x:v>18</x:v>
      </x:c>
      <x:c r="L530" t="n">
        <x:f>IF(C530="","",IFERROR(J530*K530/D530,0))</x:f>
        <x:v>0.01569426375</x:v>
      </x:c>
      <x:c r="M530" t="n">
        <x:v>3.7</x:v>
      </x:c>
      <x:c r="N530" t="n">
        <x:v>0</x:v>
      </x:c>
      <x:c r="O530" t="n">
        <x:f>IF(C530="","",IFERROR(M530*N530/D530,0))</x:f>
        <x:v>0</x:v>
      </x:c>
      <x:c r="P530" t="n">
        <x:f>IF(C530="","",L530+O530)</x:f>
        <x:v>0.01569426375</x:v>
      </x:c>
      <x:c r="Q530" t="n">
        <x:v>0</x:v>
      </x:c>
      <x:c r="R530" t="n">
        <x:v>0</x:v>
      </x:c>
      <x:c r="S530" t="n">
        <x:v>2</x:v>
      </x:c>
      <x:c r="T530" t="n">
        <x:v>0</x:v>
      </x:c>
      <x:c r="U530" t="n">
        <x:v>3</x:v>
      </x:c>
      <x:c r="V530" t="n">
        <x:v>0</x:v>
      </x:c>
      <x:c r="W530" t="n">
        <x:v>1</x:v>
      </x:c>
      <x:c r="X530" t="n">
        <x:v>6000</x:v>
      </x:c>
      <x:c r="Y530" t="n">
        <x:v>11</x:v>
      </x:c>
      <x:c r="Z530" t="n">
        <x:v>25</x:v>
      </x:c>
      <x:c r="AA530" t="n">
        <x:f>IF(C530="","",IFERROR(W530*X530/Y530/Z530/D530,0))</x:f>
        <x:v>0.030303030303030307</x:v>
      </x:c>
      <x:c r="AB530" t="n">
        <x:v>0.99</x:v>
      </x:c>
      <x:c r="AC530" t="n">
        <x:f>IF(C530="","",IFERROR((I530+P530+(Q530+R530+S530+T530+U530+V530)/D530+AA530)/AB530,0))</x:f>
        <x:v>0.08270396331581811</x:v>
      </x:c>
    </x:row>
    <x:row r="531">
      <x:c r="A531" t="str">
        <x:v>FP15</x:v>
      </x:c>
      <x:c r="B531" t="str">
        <x:v>FPC冲裁</x:v>
      </x:c>
      <x:c r="C531" t="n">
        <x:v>4</x:v>
      </x:c>
      <x:c r="D531" t="n">
        <x:f>IF(C531="","",IFERROR(60*60/C531,0))</x:f>
        <x:v>900</x:v>
      </x:c>
      <x:c r="E531" t="n">
        <x:v>8</x:v>
      </x:c>
      <x:c r="F531" t="n">
        <x:v>22</x:v>
      </x:c>
      <x:c r="G531" t="n">
        <x:v>300</x:v>
      </x:c>
      <x:c r="H531" t="n">
        <x:v>450000</x:v>
      </x:c>
      <x:c r="I531" t="n">
        <x:f>IF(C531="","",IFERROR(H531/E531/F531/G531/D531,0))</x:f>
        <x:v>0.00946969696969697</x:v>
      </x:c>
      <x:c r="J531" t="n">
        <x:v>0.62777055</x:v>
      </x:c>
      <x:c r="K531" t="n">
        <x:v>6</x:v>
      </x:c>
      <x:c r="L531" t="n">
        <x:f>IF(C531="","",IFERROR(J531*K531/D531,0))</x:f>
        <x:v>0.004185137</x:v>
      </x:c>
      <x:c r="M531" t="n">
        <x:v>3.7</x:v>
      </x:c>
      <x:c r="N531" t="n">
        <x:v>0</x:v>
      </x:c>
      <x:c r="O531" t="n">
        <x:f>IF(C531="","",IFERROR(M531*N531/D531,0))</x:f>
        <x:v>0</x:v>
      </x:c>
      <x:c r="P531" t="n">
        <x:f>IF(C531="","",L531+O531)</x:f>
        <x:v>0.004185137</x:v>
      </x:c>
      <x:c r="Q531" t="n">
        <x:v>0</x:v>
      </x:c>
      <x:c r="R531" t="n">
        <x:v>0</x:v>
      </x:c>
      <x:c r="S531" t="n">
        <x:v>0</x:v>
      </x:c>
      <x:c r="T531" t="n">
        <x:v>3</x:v>
      </x:c>
      <x:c r="U531" t="n">
        <x:v>0</x:v>
      </x:c>
      <x:c r="V531" t="n">
        <x:v>0</x:v>
      </x:c>
      <x:c r="W531" t="n">
        <x:v>1</x:v>
      </x:c>
      <x:c r="X531" t="n">
        <x:v>6000</x:v>
      </x:c>
      <x:c r="Y531" t="n">
        <x:v>11</x:v>
      </x:c>
      <x:c r="Z531" t="n">
        <x:v>25</x:v>
      </x:c>
      <x:c r="AA531" t="n">
        <x:f>IF(C531="","",IFERROR(W531*X531/Y531/Z531/D531,0))</x:f>
        <x:v>0.024242424242424246</x:v>
      </x:c>
      <x:c r="AB531" t="n">
        <x:v>0.99</x:v>
      </x:c>
      <x:c r="AC531" t="n">
        <x:f>IF(C531="","",IFERROR((I531+P531+(Q531+R531+S531+T531+U531+V531)/D531+AA531)/AB531,0))</x:f>
        <x:v>0.04164706216712581</x:v>
      </x:c>
    </x:row>
    <x:row r="532">
      <x:c r="A532" t="str">
        <x:v>FP16</x:v>
      </x:c>
      <x:c r="B532" t="str">
        <x:v>钢模冲切（悬臂及外形）</x:v>
      </x:c>
      <x:c r="C532" t="n">
        <x:v>5</x:v>
      </x:c>
      <x:c r="D532" t="n">
        <x:f>IF(C532="","",IFERROR(60*60/C532,0))</x:f>
        <x:v>720</x:v>
      </x:c>
      <x:c r="E532" t="n">
        <x:v>8</x:v>
      </x:c>
      <x:c r="F532" t="n">
        <x:v>22</x:v>
      </x:c>
      <x:c r="G532" t="n">
        <x:v>300</x:v>
      </x:c>
      <x:c r="H532" t="n">
        <x:v>650000</x:v>
      </x:c>
      <x:c r="I532" t="n">
        <x:f>IF(C532="","",IFERROR(H532/E532/F532/G532/D532,0))</x:f>
        <x:v>0.017098063973063973</x:v>
      </x:c>
      <x:c r="J532" t="n">
        <x:v>0.62777055</x:v>
      </x:c>
      <x:c r="K532" t="n">
        <x:v>8</x:v>
      </x:c>
      <x:c r="L532" t="n">
        <x:f>IF(C532="","",IFERROR(J532*K532/D532,0))</x:f>
        <x:v>0.006975228333333334</x:v>
      </x:c>
      <x:c r="M532" t="n">
        <x:v>3.7</x:v>
      </x:c>
      <x:c r="N532" t="n">
        <x:v>0</x:v>
      </x:c>
      <x:c r="O532" t="n">
        <x:f>IF(C532="","",IFERROR(M532*N532/D532,0))</x:f>
        <x:v>0</x:v>
      </x:c>
      <x:c r="P532" t="n">
        <x:f>IF(C532="","",L532+O532)</x:f>
        <x:v>0.006975228333333334</x:v>
      </x:c>
      <x:c r="Q532" t="n">
        <x:v>0</x:v>
      </x:c>
      <x:c r="R532" t="n">
        <x:v>0</x:v>
      </x:c>
      <x:c r="S532" t="n">
        <x:v>0</x:v>
      </x:c>
      <x:c r="T532" t="n">
        <x:v>4</x:v>
      </x:c>
      <x:c r="U532" t="n">
        <x:v>0</x:v>
      </x:c>
      <x:c r="V532" t="n">
        <x:v>0</x:v>
      </x:c>
      <x:c r="W532" t="n">
        <x:v>1</x:v>
      </x:c>
      <x:c r="X532" t="n">
        <x:v>6000</x:v>
      </x:c>
      <x:c r="Y532" t="n">
        <x:v>11</x:v>
      </x:c>
      <x:c r="Z532" t="n">
        <x:v>25</x:v>
      </x:c>
      <x:c r="AA532" t="n">
        <x:f>IF(C532="","",IFERROR(W532*X532/Y532/Z532/D532,0))</x:f>
        <x:v>0.030303030303030307</x:v>
      </x:c>
      <x:c r="AB532" t="n">
        <x:v>0.985</x:v>
      </x:c>
      <x:c r="AC532" t="n">
        <x:f>IF(C532="","",IFERROR((I532+P532+(Q532+R532+S532+T532+U532+V532)/D532+AA532)/AB532,0))</x:f>
        <x:v>0.06084454636038901</x:v>
      </x:c>
    </x:row>
    <x:row r="533">
      <x:c r="A533" t="str">
        <x:v>FP17</x:v>
      </x:c>
      <x:c r="B533" t="str">
        <x:v>刀模分切</x:v>
      </x:c>
      <x:c r="C533" t="n">
        <x:v>4</x:v>
      </x:c>
      <x:c r="D533" t="n">
        <x:f>IF(C533="","",IFERROR(60*60/C533,0))</x:f>
        <x:v>900</x:v>
      </x:c>
      <x:c r="E533" t="n">
        <x:v>8</x:v>
      </x:c>
      <x:c r="F533" t="n">
        <x:v>22</x:v>
      </x:c>
      <x:c r="G533" t="n">
        <x:v>300</x:v>
      </x:c>
      <x:c r="H533" t="n">
        <x:v>320000</x:v>
      </x:c>
      <x:c r="I533" t="n">
        <x:f>IF(C533="","",IFERROR(H533/E533/F533/G533/D533,0))</x:f>
        <x:v>0.006734006734006734</x:v>
      </x:c>
      <x:c r="J533" t="n">
        <x:v>0.62777055</x:v>
      </x:c>
      <x:c r="K533" t="n">
        <x:v>4</x:v>
      </x:c>
      <x:c r="L533" t="n">
        <x:f>IF(C533="","",IFERROR(J533*K533/D533,0))</x:f>
        <x:v>0.0027900913333333333</x:v>
      </x:c>
      <x:c r="M533" t="n">
        <x:v>3.7</x:v>
      </x:c>
      <x:c r="N533" t="n">
        <x:v>0</x:v>
      </x:c>
      <x:c r="O533" t="n">
        <x:f>IF(C533="","",IFERROR(M533*N533/D533,0))</x:f>
        <x:v>0</x:v>
      </x:c>
      <x:c r="P533" t="n">
        <x:f>IF(C533="","",L533+O533)</x:f>
        <x:v>0.0027900913333333333</x:v>
      </x:c>
      <x:c r="Q533" t="n">
        <x:v>0</x:v>
      </x:c>
      <x:c r="R533" t="n">
        <x:v>0</x:v>
      </x:c>
      <x:c r="S533" t="n">
        <x:v>0</x:v>
      </x:c>
      <x:c r="T533" t="n">
        <x:v>3</x:v>
      </x:c>
      <x:c r="U533" t="n">
        <x:v>0</x:v>
      </x:c>
      <x:c r="V533" t="n">
        <x:v>0</x:v>
      </x:c>
      <x:c r="W533" t="n">
        <x:v>1</x:v>
      </x:c>
      <x:c r="X533" t="n">
        <x:v>6000</x:v>
      </x:c>
      <x:c r="Y533" t="n">
        <x:v>11</x:v>
      </x:c>
      <x:c r="Z533" t="n">
        <x:v>25</x:v>
      </x:c>
      <x:c r="AA533" t="n">
        <x:f>IF(C533="","",IFERROR(W533*X533/Y533/Z533/D533,0))</x:f>
        <x:v>0.024242424242424246</x:v>
      </x:c>
      <x:c r="AB533" t="n">
        <x:v>0.99</x:v>
      </x:c>
      <x:c r="AC533" t="n">
        <x:f>IF(C533="","",IFERROR((I533+P533+(Q533+R533+S533+T533+U533+V533)/D533+AA533)/AB533,0))</x:f>
        <x:v>0.037474601659694594</x:v>
      </x:c>
    </x:row>
    <x:row r="534">
      <x:c r="A534" t="str">
        <x:v>FP18</x:v>
      </x:c>
      <x:c r="B534" t="str">
        <x:v>FR4补强叠层</x:v>
      </x:c>
      <x:c r="C534" t="n">
        <x:v>12</x:v>
      </x:c>
      <x:c r="D534" t="n">
        <x:f>IF(C534="","",IFERROR(60*60/C534,0))</x:f>
        <x:v>300</x:v>
      </x:c>
      <x:c r="E534" t="n">
        <x:v>8</x:v>
      </x:c>
      <x:c r="F534" t="n">
        <x:v>22</x:v>
      </x:c>
      <x:c r="G534" t="n">
        <x:v>300</x:v>
      </x:c>
      <x:c r="H534" t="n">
        <x:v>120000</x:v>
      </x:c>
      <x:c r="I534" t="n">
        <x:f>IF(C534="","",IFERROR(H534/E534/F534/G534/D534,0))</x:f>
        <x:v>0.007575757575757577</x:v>
      </x:c>
      <x:c r="J534" t="n">
        <x:v>0.62777055</x:v>
      </x:c>
      <x:c r="K534" t="n">
        <x:v>1</x:v>
      </x:c>
      <x:c r="L534" t="n">
        <x:f>IF(C534="","",IFERROR(J534*K534/D534,0))</x:f>
        <x:v>0.0020925685</x:v>
      </x:c>
      <x:c r="M534" t="n">
        <x:v>3.7</x:v>
      </x:c>
      <x:c r="N534" t="n">
        <x:v>0</x:v>
      </x:c>
      <x:c r="O534" t="n">
        <x:f>IF(C534="","",IFERROR(M534*N534/D534,0))</x:f>
        <x:v>0</x:v>
      </x:c>
      <x:c r="P534" t="n">
        <x:f>IF(C534="","",L534+O534)</x:f>
        <x:v>0.0020925685</x:v>
      </x:c>
      <x:c r="Q534" t="n">
        <x:v>0</x:v>
      </x:c>
      <x:c r="R534" t="n">
        <x:v>0</x:v>
      </x:c>
      <x:c r="S534" t="n">
        <x:v>0</x:v>
      </x:c>
      <x:c r="T534" t="n">
        <x:v>0</x:v>
      </x:c>
      <x:c r="U534" t="n">
        <x:v>2</x:v>
      </x:c>
      <x:c r="V534" t="n">
        <x:v>0</x:v>
      </x:c>
      <x:c r="W534" t="n">
        <x:v>2</x:v>
      </x:c>
      <x:c r="X534" t="n">
        <x:v>6000</x:v>
      </x:c>
      <x:c r="Y534" t="n">
        <x:v>11</x:v>
      </x:c>
      <x:c r="Z534" t="n">
        <x:v>25</x:v>
      </x:c>
      <x:c r="AA534" t="n">
        <x:f>IF(C534="","",IFERROR(W534*X534/Y534/Z534/D534,0))</x:f>
        <x:v>0.14545454545454548</x:v>
      </x:c>
      <x:c r="AB534" t="n">
        <x:v>0.99</x:v>
      </x:c>
      <x:c r="AC534" t="n">
        <x:f>IF(C534="","",IFERROR((I534+P534+(Q534+R534+S534+T534+U534+V534)/D534+AA534)/AB534,0))</x:f>
        <x:v>0.1634237759565351</x:v>
      </x:c>
    </x:row>
    <x:row r="535">
      <x:c r="A535" t="str">
        <x:v>FP19</x:v>
      </x:c>
      <x:c r="B535" t="str">
        <x:v>FR4真空压合</x:v>
      </x:c>
      <x:c r="C535" t="n">
        <x:v>15</x:v>
      </x:c>
      <x:c r="D535" t="n">
        <x:f>IF(C535="","",IFERROR(60*60/C535,0))</x:f>
        <x:v>240</x:v>
      </x:c>
      <x:c r="E535" t="n">
        <x:v>8</x:v>
      </x:c>
      <x:c r="F535" t="n">
        <x:v>22</x:v>
      </x:c>
      <x:c r="G535" t="n">
        <x:v>300</x:v>
      </x:c>
      <x:c r="H535" t="n">
        <x:v>900000</x:v>
      </x:c>
      <x:c r="I535" t="n">
        <x:f>IF(C535="","",IFERROR(H535/E535/F535/G535/D535,0))</x:f>
        <x:v>0.07102272727272728</x:v>
      </x:c>
      <x:c r="J535" t="n">
        <x:v>0.62777055</x:v>
      </x:c>
      <x:c r="K535" t="n">
        <x:v>25</x:v>
      </x:c>
      <x:c r="L535" t="n">
        <x:f>IF(C535="","",IFERROR(J535*K535/D535,0))</x:f>
        <x:v>0.065392765625</x:v>
      </x:c>
      <x:c r="M535" t="n">
        <x:v>3.7</x:v>
      </x:c>
      <x:c r="N535" t="n">
        <x:v>0</x:v>
      </x:c>
      <x:c r="O535" t="n">
        <x:f>IF(C535="","",IFERROR(M535*N535/D535,0))</x:f>
        <x:v>0</x:v>
      </x:c>
      <x:c r="P535" t="n">
        <x:f>IF(C535="","",L535+O535)</x:f>
        <x:v>0.065392765625</x:v>
      </x:c>
      <x:c r="Q535" t="n">
        <x:v>0</x:v>
      </x:c>
      <x:c r="R535" t="n">
        <x:v>0</x:v>
      </x:c>
      <x:c r="S535" t="n">
        <x:v>0</x:v>
      </x:c>
      <x:c r="T535" t="n">
        <x:v>0</x:v>
      </x:c>
      <x:c r="U535" t="n">
        <x:v>0</x:v>
      </x:c>
      <x:c r="V535" t="n">
        <x:v>0</x:v>
      </x:c>
      <x:c r="W535" t="n">
        <x:v>2</x:v>
      </x:c>
      <x:c r="X535" t="n">
        <x:v>6000</x:v>
      </x:c>
      <x:c r="Y535" t="n">
        <x:v>11</x:v>
      </x:c>
      <x:c r="Z535" t="n">
        <x:v>25</x:v>
      </x:c>
      <x:c r="AA535" t="n">
        <x:f>IF(C535="","",IFERROR(W535*X535/Y535/Z535/D535,0))</x:f>
        <x:v>0.18181818181818182</x:v>
      </x:c>
      <x:c r="AB535" t="n">
        <x:v>0.99</x:v>
      </x:c>
      <x:c r="AC535" t="n">
        <x:f>IF(C535="","",IFERROR((I535+P535+(Q535+R535+S535+T535+U535+V535)/D535+AA535)/AB535,0))</x:f>
        <x:v>0.3214481562786961</x:v>
      </x:c>
    </x:row>
    <x:row r="536">
      <x:c r="A536" t="str">
        <x:v>FP20</x:v>
      </x:c>
      <x:c r="B536" t="str">
        <x:v>FR4烘烤/固化</x:v>
      </x:c>
      <x:c r="C536" t="n">
        <x:v>15</x:v>
      </x:c>
      <x:c r="D536" t="n">
        <x:f>IF(C536="","",IFERROR(60*60/C536,0))</x:f>
        <x:v>240</x:v>
      </x:c>
      <x:c r="E536" t="n">
        <x:v>8</x:v>
      </x:c>
      <x:c r="F536" t="n">
        <x:v>22</x:v>
      </x:c>
      <x:c r="G536" t="n">
        <x:v>300</x:v>
      </x:c>
      <x:c r="H536" t="n">
        <x:v>650000</x:v>
      </x:c>
      <x:c r="I536" t="n">
        <x:f>IF(C536="","",IFERROR(H536/E536/F536/G536/D536,0))</x:f>
        <x:v>0.05129419191919192</x:v>
      </x:c>
      <x:c r="J536" t="n">
        <x:v>0.62777055</x:v>
      </x:c>
      <x:c r="K536" t="n">
        <x:v>30</x:v>
      </x:c>
      <x:c r="L536" t="n">
        <x:f>IF(C536="","",IFERROR(J536*K536/D536,0))</x:f>
        <x:v>0.07847131875</x:v>
      </x:c>
      <x:c r="M536" t="n">
        <x:v>3.7</x:v>
      </x:c>
      <x:c r="N536" t="n">
        <x:v>0</x:v>
      </x:c>
      <x:c r="O536" t="n">
        <x:f>IF(C536="","",IFERROR(M536*N536/D536,0))</x:f>
        <x:v>0</x:v>
      </x:c>
      <x:c r="P536" t="n">
        <x:f>IF(C536="","",L536+O536)</x:f>
        <x:v>0.07847131875</x:v>
      </x:c>
      <x:c r="Q536" t="n">
        <x:v>0</x:v>
      </x:c>
      <x:c r="R536" t="n">
        <x:v>0</x:v>
      </x:c>
      <x:c r="S536" t="n">
        <x:v>0</x:v>
      </x:c>
      <x:c r="T536" t="n">
        <x:v>0</x:v>
      </x:c>
      <x:c r="U536" t="n">
        <x:v>0</x:v>
      </x:c>
      <x:c r="V536" t="n">
        <x:v>0</x:v>
      </x:c>
      <x:c r="W536" t="n">
        <x:v>1</x:v>
      </x:c>
      <x:c r="X536" t="n">
        <x:v>6000</x:v>
      </x:c>
      <x:c r="Y536" t="n">
        <x:v>11</x:v>
      </x:c>
      <x:c r="Z536" t="n">
        <x:v>25</x:v>
      </x:c>
      <x:c r="AA536" t="n">
        <x:f>IF(C536="","",IFERROR(W536*X536/Y536/Z536/D536,0))</x:f>
        <x:v>0.09090909090909091</x:v>
      </x:c>
      <x:c r="AB536" t="n">
        <x:v>0.995</x:v>
      </x:c>
      <x:c r="AC536" t="n">
        <x:f>IF(C536="","",IFERROR((I536+P536+(Q536+R536+S536+T536+U536+V536)/D536+AA536)/AB536,0))</x:f>
        <x:v>0.2217835191741536</x:v>
      </x:c>
    </x:row>
    <x:row r="537">
      <x:c r="A537" t="str">
        <x:v>FP21</x:v>
      </x:c>
      <x:c r="B537" t="str">
        <x:v>FPC过程检验Ⅰ</x:v>
      </x:c>
      <x:c r="C537" t="n">
        <x:v>10</x:v>
      </x:c>
      <x:c r="D537" t="n">
        <x:f>IF(C537="","",IFERROR(60*60/C537,0))</x:f>
        <x:v>360</x:v>
      </x:c>
      <x:c r="E537" t="n">
        <x:v>8</x:v>
      </x:c>
      <x:c r="F537" t="n">
        <x:v>22</x:v>
      </x:c>
      <x:c r="G537" t="n">
        <x:v>300</x:v>
      </x:c>
      <x:c r="H537" t="n">
        <x:v>30000</x:v>
      </x:c>
      <x:c r="I537" t="n">
        <x:f>IF(C537="","",IFERROR(H537/E537/F537/G537/D537,0))</x:f>
        <x:v>0.0015782828282828285</x:v>
      </x:c>
      <x:c r="J537" t="n">
        <x:v>0.62777055</x:v>
      </x:c>
      <x:c r="K537" t="n">
        <x:v>0.2</x:v>
      </x:c>
      <x:c r="L537" t="n">
        <x:f>IF(C537="","",IFERROR(J537*K537/D537,0))</x:f>
        <x:v>0.0003487614166666667</x:v>
      </x:c>
      <x:c r="M537" t="n">
        <x:v>3.7</x:v>
      </x:c>
      <x:c r="N537" t="n">
        <x:v>0</x:v>
      </x:c>
      <x:c r="O537" t="n">
        <x:f>IF(C537="","",IFERROR(M537*N537/D537,0))</x:f>
        <x:v>0</x:v>
      </x:c>
      <x:c r="P537" t="n">
        <x:f>IF(C537="","",L537+O537)</x:f>
        <x:v>0.0003487614166666667</x:v>
      </x:c>
      <x:c r="Q537" t="n">
        <x:v>0</x:v>
      </x:c>
      <x:c r="R537" t="n">
        <x:v>0</x:v>
      </x:c>
      <x:c r="S537" t="n">
        <x:v>0</x:v>
      </x:c>
      <x:c r="T537" t="n">
        <x:v>0</x:v>
      </x:c>
      <x:c r="U537" t="n">
        <x:v>0</x:v>
      </x:c>
      <x:c r="V537" t="n">
        <x:v>0</x:v>
      </x:c>
      <x:c r="W537" t="n">
        <x:v>1</x:v>
      </x:c>
      <x:c r="X537" t="n">
        <x:v>6000</x:v>
      </x:c>
      <x:c r="Y537" t="n">
        <x:v>11</x:v>
      </x:c>
      <x:c r="Z537" t="n">
        <x:v>25</x:v>
      </x:c>
      <x:c r="AA537" t="n">
        <x:f>IF(C537="","",IFERROR(W537*X537/Y537/Z537/D537,0))</x:f>
        <x:v>0.060606060606060615</x:v>
      </x:c>
      <x:c r="AB537" t="n">
        <x:v>0.999</x:v>
      </x:c>
      <x:c r="AC537" t="n">
        <x:f>IF(C537="","",IFERROR((I537+P537+(Q537+R537+S537+T537+U537+V537)/D537+AA537)/AB537,0))</x:f>
        <x:v>0.06259570055156168</x:v>
      </x:c>
    </x:row>
    <x:row r="538">
      <x:c r="A538" t="str">
        <x:v>FP22</x:v>
      </x:c>
      <x:c r="B538" t="str">
        <x:v>SMT贴镍片（锡膏/贴片/回流）</x:v>
      </x:c>
      <x:c r="C538" t="n">
        <x:v>8</x:v>
      </x:c>
      <x:c r="D538" t="n">
        <x:f>IF(C538="","",IFERROR(60*60/C538,0))</x:f>
        <x:v>450</x:v>
      </x:c>
      <x:c r="E538" t="n">
        <x:v>8</x:v>
      </x:c>
      <x:c r="F538" t="n">
        <x:v>22</x:v>
      </x:c>
      <x:c r="G538" t="n">
        <x:v>300</x:v>
      </x:c>
      <x:c r="H538" t="n">
        <x:v>1600000</x:v>
      </x:c>
      <x:c r="I538" t="n">
        <x:f>IF(C538="","",IFERROR(H538/E538/F538/G538/D538,0))</x:f>
        <x:v>0.06734006734006734</x:v>
      </x:c>
      <x:c r="J538" t="n">
        <x:v>0.62777055</x:v>
      </x:c>
      <x:c r="K538" t="n">
        <x:v>25</x:v>
      </x:c>
      <x:c r="L538" t="n">
        <x:f>IF(C538="","",IFERROR(J538*K538/D538,0))</x:f>
        <x:v>0.034876141666666666</x:v>
      </x:c>
      <x:c r="M538" t="n">
        <x:v>3.7</x:v>
      </x:c>
      <x:c r="N538" t="n">
        <x:v>0</x:v>
      </x:c>
      <x:c r="O538" t="n">
        <x:f>IF(C538="","",IFERROR(M538*N538/D538,0))</x:f>
        <x:v>0</x:v>
      </x:c>
      <x:c r="P538" t="n">
        <x:f>IF(C538="","",L538+O538)</x:f>
        <x:v>0.034876141666666666</x:v>
      </x:c>
      <x:c r="Q538" t="n">
        <x:v>0</x:v>
      </x:c>
      <x:c r="R538" t="n">
        <x:v>0</x:v>
      </x:c>
      <x:c r="S538" t="n">
        <x:v>0</x:v>
      </x:c>
      <x:c r="T538" t="n">
        <x:v>0</x:v>
      </x:c>
      <x:c r="U538" t="n">
        <x:v>3</x:v>
      </x:c>
      <x:c r="V538" t="n">
        <x:v>0</x:v>
      </x:c>
      <x:c r="W538" t="n">
        <x:v>2</x:v>
      </x:c>
      <x:c r="X538" t="n">
        <x:v>6000</x:v>
      </x:c>
      <x:c r="Y538" t="n">
        <x:v>11</x:v>
      </x:c>
      <x:c r="Z538" t="n">
        <x:v>25</x:v>
      </x:c>
      <x:c r="AA538" t="n">
        <x:f>IF(C538="","",IFERROR(W538*X538/Y538/Z538/D538,0))</x:f>
        <x:v>0.09696969696969698</x:v>
      </x:c>
      <x:c r="AB538" t="n">
        <x:v>0.985</x:v>
      </x:c>
      <x:c r="AC538" t="n">
        <x:f>IF(C538="","",IFERROR((I538+P538+(Q538+R538+S538+T538+U538+V538)/D538+AA538)/AB538,0))</x:f>
        <x:v>0.20898738339400777</x:v>
      </x:c>
    </x:row>
    <x:row r="539">
      <x:c r="A539" t="str">
        <x:v>FP23</x:v>
      </x:c>
      <x:c r="B539" t="str">
        <x:v>等离子清洗</x:v>
      </x:c>
      <x:c r="C539" t="n">
        <x:v>6</x:v>
      </x:c>
      <x:c r="D539" t="n">
        <x:f>IF(C539="","",IFERROR(60*60/C539,0))</x:f>
        <x:v>600</x:v>
      </x:c>
      <x:c r="E539" t="n">
        <x:v>8</x:v>
      </x:c>
      <x:c r="F539" t="n">
        <x:v>22</x:v>
      </x:c>
      <x:c r="G539" t="n">
        <x:v>300</x:v>
      </x:c>
      <x:c r="H539" t="n">
        <x:v>550000</x:v>
      </x:c>
      <x:c r="I539" t="n">
        <x:f>IF(C539="","",IFERROR(H539/E539/F539/G539/D539,0))</x:f>
        <x:v>0.01736111111111111</x:v>
      </x:c>
      <x:c r="J539" t="n">
        <x:v>0.62777055</x:v>
      </x:c>
      <x:c r="K539" t="n">
        <x:v>6</x:v>
      </x:c>
      <x:c r="L539" t="n">
        <x:f>IF(C539="","",IFERROR(J539*K539/D539,0))</x:f>
        <x:v>0.0062777055</x:v>
      </x:c>
      <x:c r="M539" t="n">
        <x:v>3.7</x:v>
      </x:c>
      <x:c r="N539" t="n">
        <x:v>0</x:v>
      </x:c>
      <x:c r="O539" t="n">
        <x:f>IF(C539="","",IFERROR(M539*N539/D539,0))</x:f>
        <x:v>0</x:v>
      </x:c>
      <x:c r="P539" t="n">
        <x:f>IF(C539="","",L539+O539)</x:f>
        <x:v>0.0062777055</x:v>
      </x:c>
      <x:c r="Q539" t="n">
        <x:v>0</x:v>
      </x:c>
      <x:c r="R539" t="n">
        <x:v>0</x:v>
      </x:c>
      <x:c r="S539" t="n">
        <x:v>0</x:v>
      </x:c>
      <x:c r="T539" t="n">
        <x:v>0</x:v>
      </x:c>
      <x:c r="U539" t="n">
        <x:v>0</x:v>
      </x:c>
      <x:c r="V539" t="n">
        <x:v>0</x:v>
      </x:c>
      <x:c r="W539" t="n">
        <x:v>1</x:v>
      </x:c>
      <x:c r="X539" t="n">
        <x:v>6000</x:v>
      </x:c>
      <x:c r="Y539" t="n">
        <x:v>11</x:v>
      </x:c>
      <x:c r="Z539" t="n">
        <x:v>25</x:v>
      </x:c>
      <x:c r="AA539" t="n">
        <x:f>IF(C539="","",IFERROR(W539*X539/Y539/Z539/D539,0))</x:f>
        <x:v>0.03636363636363637</x:v>
      </x:c>
      <x:c r="AB539" t="n">
        <x:v>0.995</x:v>
      </x:c>
      <x:c r="AC539" t="n">
        <x:f>IF(C539="","",IFERROR((I539+P539+(Q539+R539+S539+T539+U539+V539)/D539+AA539)/AB539,0))</x:f>
        <x:v>0.060303972838942184</x:v>
      </x:c>
    </x:row>
    <x:row r="540">
      <x:c r="A540" t="str">
        <x:v>FP24</x:v>
      </x:c>
      <x:c r="B540" t="str">
        <x:v>FPC过程检验Ⅱ</x:v>
      </x:c>
      <x:c r="C540" t="n">
        <x:v>10</x:v>
      </x:c>
      <x:c r="D540" t="n">
        <x:f>IF(C540="","",IFERROR(60*60/C540,0))</x:f>
        <x:v>360</x:v>
      </x:c>
      <x:c r="E540" t="n">
        <x:v>8</x:v>
      </x:c>
      <x:c r="F540" t="n">
        <x:v>22</x:v>
      </x:c>
      <x:c r="G540" t="n">
        <x:v>300</x:v>
      </x:c>
      <x:c r="H540" t="n">
        <x:v>30000</x:v>
      </x:c>
      <x:c r="I540" t="n">
        <x:f>IF(C540="","",IFERROR(H540/E540/F540/G540/D540,0))</x:f>
        <x:v>0.0015782828282828285</x:v>
      </x:c>
      <x:c r="J540" t="n">
        <x:v>0.62777055</x:v>
      </x:c>
      <x:c r="K540" t="n">
        <x:v>0.2</x:v>
      </x:c>
      <x:c r="L540" t="n">
        <x:f>IF(C540="","",IFERROR(J540*K540/D540,0))</x:f>
        <x:v>0.0003487614166666667</x:v>
      </x:c>
      <x:c r="M540" t="n">
        <x:v>3.7</x:v>
      </x:c>
      <x:c r="N540" t="n">
        <x:v>0</x:v>
      </x:c>
      <x:c r="O540" t="n">
        <x:f>IF(C540="","",IFERROR(M540*N540/D540,0))</x:f>
        <x:v>0</x:v>
      </x:c>
      <x:c r="P540" t="n">
        <x:f>IF(C540="","",L540+O540)</x:f>
        <x:v>0.0003487614166666667</x:v>
      </x:c>
      <x:c r="Q540" t="n">
        <x:v>0</x:v>
      </x:c>
      <x:c r="R540" t="n">
        <x:v>0</x:v>
      </x:c>
      <x:c r="S540" t="n">
        <x:v>0</x:v>
      </x:c>
      <x:c r="T540" t="n">
        <x:v>0</x:v>
      </x:c>
      <x:c r="U540" t="n">
        <x:v>0</x:v>
      </x:c>
      <x:c r="V540" t="n">
        <x:v>0</x:v>
      </x:c>
      <x:c r="W540" t="n">
        <x:v>1</x:v>
      </x:c>
      <x:c r="X540" t="n">
        <x:v>6000</x:v>
      </x:c>
      <x:c r="Y540" t="n">
        <x:v>11</x:v>
      </x:c>
      <x:c r="Z540" t="n">
        <x:v>25</x:v>
      </x:c>
      <x:c r="AA540" t="n">
        <x:f>IF(C540="","",IFERROR(W540*X540/Y540/Z540/D540,0))</x:f>
        <x:v>0.060606060606060615</x:v>
      </x:c>
      <x:c r="AB540" t="n">
        <x:v>0.999</x:v>
      </x:c>
      <x:c r="AC540" t="n">
        <x:f>IF(C540="","",IFERROR((I540+P540+(Q540+R540+S540+T540+U540+V540)/D540+AA540)/AB540,0))</x:f>
        <x:v>0.06259570055156168</x:v>
      </x:c>
    </x:row>
    <x:row r="541">
      <x:c r="A541" t="str">
        <x:v>FP25</x:v>
      </x:c>
      <x:c r="B541" t="str">
        <x:v>FPC X-Ray检测</x:v>
      </x:c>
      <x:c r="C541" t="n">
        <x:v>12</x:v>
      </x:c>
      <x:c r="D541" t="n">
        <x:f>IF(C541="","",IFERROR(60*60/C541,0))</x:f>
        <x:v>300</x:v>
      </x:c>
      <x:c r="E541" t="n">
        <x:v>8</x:v>
      </x:c>
      <x:c r="F541" t="n">
        <x:v>22</x:v>
      </x:c>
      <x:c r="G541" t="n">
        <x:v>300</x:v>
      </x:c>
      <x:c r="H541" t="n">
        <x:v>900000</x:v>
      </x:c>
      <x:c r="I541" t="n">
        <x:f>IF(C541="","",IFERROR(H541/E541/F541/G541/D541,0))</x:f>
        <x:v>0.05681818181818182</x:v>
      </x:c>
      <x:c r="J541" t="n">
        <x:v>0.62777055</x:v>
      </x:c>
      <x:c r="K541" t="n">
        <x:v>5</x:v>
      </x:c>
      <x:c r="L541" t="n">
        <x:f>IF(C541="","",IFERROR(J541*K541/D541,0))</x:f>
        <x:v>0.010462842500000001</x:v>
      </x:c>
      <x:c r="M541" t="n">
        <x:v>3.7</x:v>
      </x:c>
      <x:c r="N541" t="n">
        <x:v>0</x:v>
      </x:c>
      <x:c r="O541" t="n">
        <x:f>IF(C541="","",IFERROR(M541*N541/D541,0))</x:f>
        <x:v>0</x:v>
      </x:c>
      <x:c r="P541" t="n">
        <x:f>IF(C541="","",L541+O541)</x:f>
        <x:v>0.010462842500000001</x:v>
      </x:c>
      <x:c r="Q541" t="n">
        <x:v>0</x:v>
      </x:c>
      <x:c r="R541" t="n">
        <x:v>0</x:v>
      </x:c>
      <x:c r="S541" t="n">
        <x:v>0</x:v>
      </x:c>
      <x:c r="T541" t="n">
        <x:v>0</x:v>
      </x:c>
      <x:c r="U541" t="n">
        <x:v>0</x:v>
      </x:c>
      <x:c r="V541" t="n">
        <x:v>0</x:v>
      </x:c>
      <x:c r="W541" t="n">
        <x:v>1</x:v>
      </x:c>
      <x:c r="X541" t="n">
        <x:v>6000</x:v>
      </x:c>
      <x:c r="Y541" t="n">
        <x:v>11</x:v>
      </x:c>
      <x:c r="Z541" t="n">
        <x:v>25</x:v>
      </x:c>
      <x:c r="AA541" t="n">
        <x:f>IF(C541="","",IFERROR(W541*X541/Y541/Z541/D541,0))</x:f>
        <x:v>0.07272727272727274</x:v>
      </x:c>
      <x:c r="AB541" t="n">
        <x:v>0.998</x:v>
      </x:c>
      <x:c r="AC541" t="n">
        <x:f>IF(C541="","",IFERROR((I541+P541+(Q541+R541+S541+T541+U541+V541)/D541+AA541)/AB541,0))</x:f>
        <x:v>0.14028887479504465</x:v>
      </x:c>
    </x:row>
    <x:row r="542">
      <x:c r="A542" t="str">
        <x:v>FP26</x:v>
      </x:c>
      <x:c r="B542" t="str">
        <x:v>插件端子压接</x:v>
      </x:c>
      <x:c r="C542" t="n">
        <x:v>8</x:v>
      </x:c>
      <x:c r="D542" t="n">
        <x:f>IF(C542="","",IFERROR(60*60/C542,0))</x:f>
        <x:v>450</x:v>
      </x:c>
      <x:c r="E542" t="n">
        <x:v>8</x:v>
      </x:c>
      <x:c r="F542" t="n">
        <x:v>22</x:v>
      </x:c>
      <x:c r="G542" t="n">
        <x:v>300</x:v>
      </x:c>
      <x:c r="H542" t="n">
        <x:v>280000</x:v>
      </x:c>
      <x:c r="I542" t="n">
        <x:f>IF(C542="","",IFERROR(H542/E542/F542/G542/D542,0))</x:f>
        <x:v>0.011784511784511786</x:v>
      </x:c>
      <x:c r="J542" t="n">
        <x:v>0.62777055</x:v>
      </x:c>
      <x:c r="K542" t="n">
        <x:v>3</x:v>
      </x:c>
      <x:c r="L542" t="n">
        <x:f>IF(C542="","",IFERROR(J542*K542/D542,0))</x:f>
        <x:v>0.004185137</x:v>
      </x:c>
      <x:c r="M542" t="n">
        <x:v>3.7</x:v>
      </x:c>
      <x:c r="N542" t="n">
        <x:v>0</x:v>
      </x:c>
      <x:c r="O542" t="n">
        <x:f>IF(C542="","",IFERROR(M542*N542/D542,0))</x:f>
        <x:v>0</x:v>
      </x:c>
      <x:c r="P542" t="n">
        <x:f>IF(C542="","",L542+O542)</x:f>
        <x:v>0.004185137</x:v>
      </x:c>
      <x:c r="Q542" t="n">
        <x:v>0</x:v>
      </x:c>
      <x:c r="R542" t="n">
        <x:v>0</x:v>
      </x:c>
      <x:c r="S542" t="n">
        <x:v>0</x:v>
      </x:c>
      <x:c r="T542" t="n">
        <x:v>2</x:v>
      </x:c>
      <x:c r="U542" t="n">
        <x:v>0</x:v>
      </x:c>
      <x:c r="V542" t="n">
        <x:v>0</x:v>
      </x:c>
      <x:c r="W542" t="n">
        <x:v>1</x:v>
      </x:c>
      <x:c r="X542" t="n">
        <x:v>6000</x:v>
      </x:c>
      <x:c r="Y542" t="n">
        <x:v>11</x:v>
      </x:c>
      <x:c r="Z542" t="n">
        <x:v>25</x:v>
      </x:c>
      <x:c r="AA542" t="n">
        <x:f>IF(C542="","",IFERROR(W542*X542/Y542/Z542/D542,0))</x:f>
        <x:v>0.04848484848484849</x:v>
      </x:c>
      <x:c r="AB542" t="n">
        <x:v>0.99</x:v>
      </x:c>
      <x:c r="AC542" t="n">
        <x:f>IF(C542="","",IFERROR((I542+P542+(Q542+R542+S542+T542+U542+V542)/D542+AA542)/AB542,0))</x:f>
        <x:v>0.06959489062000478</x:v>
      </x:c>
    </x:row>
    <x:row r="543">
      <x:c r="A543" t="str">
        <x:v>FP27</x:v>
      </x:c>
      <x:c r="B543" t="str">
        <x:v>端子压接AVI检测</x:v>
      </x:c>
      <x:c r="C543" t="n">
        <x:v>6</x:v>
      </x:c>
      <x:c r="D543" t="n">
        <x:f>IF(C543="","",IFERROR(60*60/C543,0))</x:f>
        <x:v>600</x:v>
      </x:c>
      <x:c r="E543" t="n">
        <x:v>8</x:v>
      </x:c>
      <x:c r="F543" t="n">
        <x:v>22</x:v>
      </x:c>
      <x:c r="G543" t="n">
        <x:v>300</x:v>
      </x:c>
      <x:c r="H543" t="n">
        <x:v>650000</x:v>
      </x:c>
      <x:c r="I543" t="n">
        <x:f>IF(C543="","",IFERROR(H543/E543/F543/G543/D543,0))</x:f>
        <x:v>0.020517676767676768</x:v>
      </x:c>
      <x:c r="J543" t="n">
        <x:v>0.62777055</x:v>
      </x:c>
      <x:c r="K543" t="n">
        <x:v>2</x:v>
      </x:c>
      <x:c r="L543" t="n">
        <x:f>IF(C543="","",IFERROR(J543*K543/D543,0))</x:f>
        <x:v>0.0020925685</x:v>
      </x:c>
      <x:c r="M543" t="n">
        <x:v>3.7</x:v>
      </x:c>
      <x:c r="N543" t="n">
        <x:v>0</x:v>
      </x:c>
      <x:c r="O543" t="n">
        <x:f>IF(C543="","",IFERROR(M543*N543/D543,0))</x:f>
        <x:v>0</x:v>
      </x:c>
      <x:c r="P543" t="n">
        <x:f>IF(C543="","",L543+O543)</x:f>
        <x:v>0.0020925685</x:v>
      </x:c>
      <x:c r="Q543" t="n">
        <x:v>0</x:v>
      </x:c>
      <x:c r="R543" t="n">
        <x:v>0</x:v>
      </x:c>
      <x:c r="S543" t="n">
        <x:v>0</x:v>
      </x:c>
      <x:c r="T543" t="n">
        <x:v>0</x:v>
      </x:c>
      <x:c r="U543" t="n">
        <x:v>0</x:v>
      </x:c>
      <x:c r="V543" t="n">
        <x:v>0</x:v>
      </x:c>
      <x:c r="W543" t="n">
        <x:v>1</x:v>
      </x:c>
      <x:c r="X543" t="n">
        <x:v>6000</x:v>
      </x:c>
      <x:c r="Y543" t="n">
        <x:v>11</x:v>
      </x:c>
      <x:c r="Z543" t="n">
        <x:v>25</x:v>
      </x:c>
      <x:c r="AA543" t="n">
        <x:f>IF(C543="","",IFERROR(W543*X543/Y543/Z543/D543,0))</x:f>
        <x:v>0.03636363636363637</x:v>
      </x:c>
      <x:c r="AB543" t="n">
        <x:v>0.998</x:v>
      </x:c>
      <x:c r="AC543" t="n">
        <x:f>IF(C543="","",IFERROR((I543+P543+(Q543+R543+S543+T543+U543+V543)/D543+AA543)/AB543,0))</x:f>
        <x:v>0.05909206576283881</x:v>
      </x:c>
    </x:row>
    <x:row r="544">
      <x:c r="A544" t="str">
        <x:v>FP28</x:v>
      </x:c>
      <x:c r="B544" t="str">
        <x:v>FPC点胶</x:v>
      </x:c>
      <x:c r="C544" t="n">
        <x:v>8</x:v>
      </x:c>
      <x:c r="D544" t="n">
        <x:f>IF(C544="","",IFERROR(60*60/C544,0))</x:f>
        <x:v>450</x:v>
      </x:c>
      <x:c r="E544" t="n">
        <x:v>8</x:v>
      </x:c>
      <x:c r="F544" t="n">
        <x:v>22</x:v>
      </x:c>
      <x:c r="G544" t="n">
        <x:v>300</x:v>
      </x:c>
      <x:c r="H544" t="n">
        <x:v>120000</x:v>
      </x:c>
      <x:c r="I544" t="n">
        <x:f>IF(C544="","",IFERROR(H544/E544/F544/G544/D544,0))</x:f>
        <x:v>0.005050505050505051</x:v>
      </x:c>
      <x:c r="J544" t="n">
        <x:v>0.62777055</x:v>
      </x:c>
      <x:c r="K544" t="n">
        <x:v>2</x:v>
      </x:c>
      <x:c r="L544" t="n">
        <x:f>IF(C544="","",IFERROR(J544*K544/D544,0))</x:f>
        <x:v>0.0027900913333333333</x:v>
      </x:c>
      <x:c r="M544" t="n">
        <x:v>3.7</x:v>
      </x:c>
      <x:c r="N544" t="n">
        <x:v>0</x:v>
      </x:c>
      <x:c r="O544" t="n">
        <x:f>IF(C544="","",IFERROR(M544*N544/D544,0))</x:f>
        <x:v>0</x:v>
      </x:c>
      <x:c r="P544" t="n">
        <x:f>IF(C544="","",L544+O544)</x:f>
        <x:v>0.0027900913333333333</x:v>
      </x:c>
      <x:c r="Q544" t="n">
        <x:v>0</x:v>
      </x:c>
      <x:c r="R544" t="n">
        <x:v>0</x:v>
      </x:c>
      <x:c r="S544" t="n">
        <x:v>0</x:v>
      </x:c>
      <x:c r="T544" t="n">
        <x:v>0</x:v>
      </x:c>
      <x:c r="U544" t="n">
        <x:v>2</x:v>
      </x:c>
      <x:c r="V544" t="n">
        <x:v>0</x:v>
      </x:c>
      <x:c r="W544" t="n">
        <x:v>1</x:v>
      </x:c>
      <x:c r="X544" t="n">
        <x:v>6000</x:v>
      </x:c>
      <x:c r="Y544" t="n">
        <x:v>11</x:v>
      </x:c>
      <x:c r="Z544" t="n">
        <x:v>25</x:v>
      </x:c>
      <x:c r="AA544" t="n">
        <x:f>IF(C544="","",IFERROR(W544*X544/Y544/Z544/D544,0))</x:f>
        <x:v>0.04848484848484849</x:v>
      </x:c>
      <x:c r="AB544" t="n">
        <x:v>0.995</x:v>
      </x:c>
      <x:c r="AC544" t="n">
        <x:f>IF(C544="","",IFERROR((I544+P544+(Q544+R544+S544+T544+U544+V544)/D544+AA544)/AB544,0))</x:f>
        <x:v>0.06107526564133801</x:v>
      </x:c>
    </x:row>
    <x:row r="545">
      <x:c r="A545" t="str">
        <x:v>FP29</x:v>
      </x:c>
      <x:c r="B545" t="str">
        <x:v>点胶检查</x:v>
      </x:c>
      <x:c r="C545" t="n">
        <x:v>6</x:v>
      </x:c>
      <x:c r="D545" t="n">
        <x:f>IF(C545="","",IFERROR(60*60/C545,0))</x:f>
        <x:v>600</x:v>
      </x:c>
      <x:c r="E545" t="n">
        <x:v>8</x:v>
      </x:c>
      <x:c r="F545" t="n">
        <x:v>22</x:v>
      </x:c>
      <x:c r="G545" t="n">
        <x:v>300</x:v>
      </x:c>
      <x:c r="H545" t="n">
        <x:v>220000</x:v>
      </x:c>
      <x:c r="I545" t="n">
        <x:f>IF(C545="","",IFERROR(H545/E545/F545/G545/D545,0))</x:f>
        <x:v>0.006944444444444445</x:v>
      </x:c>
      <x:c r="J545" t="n">
        <x:v>0.62777055</x:v>
      </x:c>
      <x:c r="K545" t="n">
        <x:v>1</x:v>
      </x:c>
      <x:c r="L545" t="n">
        <x:f>IF(C545="","",IFERROR(J545*K545/D545,0))</x:f>
        <x:v>0.00104628425</x:v>
      </x:c>
      <x:c r="M545" t="n">
        <x:v>3.7</x:v>
      </x:c>
      <x:c r="N545" t="n">
        <x:v>0</x:v>
      </x:c>
      <x:c r="O545" t="n">
        <x:f>IF(C545="","",IFERROR(M545*N545/D545,0))</x:f>
        <x:v>0</x:v>
      </x:c>
      <x:c r="P545" t="n">
        <x:f>IF(C545="","",L545+O545)</x:f>
        <x:v>0.00104628425</x:v>
      </x:c>
      <x:c r="Q545" t="n">
        <x:v>0</x:v>
      </x:c>
      <x:c r="R545" t="n">
        <x:v>0</x:v>
      </x:c>
      <x:c r="S545" t="n">
        <x:v>0</x:v>
      </x:c>
      <x:c r="T545" t="n">
        <x:v>0</x:v>
      </x:c>
      <x:c r="U545" t="n">
        <x:v>0</x:v>
      </x:c>
      <x:c r="V545" t="n">
        <x:v>0</x:v>
      </x:c>
      <x:c r="W545" t="n">
        <x:v>1</x:v>
      </x:c>
      <x:c r="X545" t="n">
        <x:v>6000</x:v>
      </x:c>
      <x:c r="Y545" t="n">
        <x:v>11</x:v>
      </x:c>
      <x:c r="Z545" t="n">
        <x:v>25</x:v>
      </x:c>
      <x:c r="AA545" t="n">
        <x:f>IF(C545="","",IFERROR(W545*X545/Y545/Z545/D545,0))</x:f>
        <x:v>0.03636363636363637</x:v>
      </x:c>
      <x:c r="AB545" t="n">
        <x:v>0.999</x:v>
      </x:c>
      <x:c r="AC545" t="n">
        <x:f>IF(C545="","",IFERROR((I545+P545+(Q545+R545+S545+T545+U545+V545)/D545+AA545)/AB545,0))</x:f>
        <x:v>0.04439876382190271</x:v>
      </x:c>
    </x:row>
    <x:row r="546">
      <x:c r="A546" t="str">
        <x:v>FP30</x:v>
      </x:c>
      <x:c r="B546" t="str">
        <x:v>胶水固化</x:v>
      </x:c>
      <x:c r="C546" t="n">
        <x:v>12</x:v>
      </x:c>
      <x:c r="D546" t="n">
        <x:f>IF(C546="","",IFERROR(60*60/C546,0))</x:f>
        <x:v>300</x:v>
      </x:c>
      <x:c r="E546" t="n">
        <x:v>8</x:v>
      </x:c>
      <x:c r="F546" t="n">
        <x:v>22</x:v>
      </x:c>
      <x:c r="G546" t="n">
        <x:v>300</x:v>
      </x:c>
      <x:c r="H546" t="n">
        <x:v>350000</x:v>
      </x:c>
      <x:c r="I546" t="n">
        <x:f>IF(C546="","",IFERROR(H546/E546/F546/G546/D546,0))</x:f>
        <x:v>0.022095959595959596</x:v>
      </x:c>
      <x:c r="J546" t="n">
        <x:v>0.62777055</x:v>
      </x:c>
      <x:c r="K546" t="n">
        <x:v>18</x:v>
      </x:c>
      <x:c r="L546" t="n">
        <x:f>IF(C546="","",IFERROR(J546*K546/D546,0))</x:f>
        <x:v>0.037666233</x:v>
      </x:c>
      <x:c r="M546" t="n">
        <x:v>3.7</x:v>
      </x:c>
      <x:c r="N546" t="n">
        <x:v>0</x:v>
      </x:c>
      <x:c r="O546" t="n">
        <x:f>IF(C546="","",IFERROR(M546*N546/D546,0))</x:f>
        <x:v>0</x:v>
      </x:c>
      <x:c r="P546" t="n">
        <x:f>IF(C546="","",L546+O546)</x:f>
        <x:v>0.037666233</x:v>
      </x:c>
      <x:c r="Q546" t="n">
        <x:v>0</x:v>
      </x:c>
      <x:c r="R546" t="n">
        <x:v>0</x:v>
      </x:c>
      <x:c r="S546" t="n">
        <x:v>0</x:v>
      </x:c>
      <x:c r="T546" t="n">
        <x:v>0</x:v>
      </x:c>
      <x:c r="U546" t="n">
        <x:v>0</x:v>
      </x:c>
      <x:c r="V546" t="n">
        <x:v>0</x:v>
      </x:c>
      <x:c r="W546" t="n">
        <x:v>1</x:v>
      </x:c>
      <x:c r="X546" t="n">
        <x:v>6000</x:v>
      </x:c>
      <x:c r="Y546" t="n">
        <x:v>11</x:v>
      </x:c>
      <x:c r="Z546" t="n">
        <x:v>25</x:v>
      </x:c>
      <x:c r="AA546" t="n">
        <x:f>IF(C546="","",IFERROR(W546*X546/Y546/Z546/D546,0))</x:f>
        <x:v>0.07272727272727274</x:v>
      </x:c>
      <x:c r="AB546" t="n">
        <x:v>0.995</x:v>
      </x:c>
      <x:c r="AC546" t="n">
        <x:f>IF(C546="","",IFERROR((I546+P546+(Q546+R546+S546+T546+U546+V546)/D546+AA546)/AB546,0))</x:f>
        <x:v>0.13315524153088676</x:v>
      </x:c>
    </x:row>
    <x:row r="547">
      <x:c r="A547" t="str">
        <x:v>FP31</x:v>
      </x:c>
      <x:c r="B547" t="str">
        <x:v>辅材贴合</x:v>
      </x:c>
      <x:c r="C547" t="n">
        <x:v>12</x:v>
      </x:c>
      <x:c r="D547" t="n">
        <x:f>IF(C547="","",IFERROR(60*60/C547,0))</x:f>
        <x:v>300</x:v>
      </x:c>
      <x:c r="E547" t="n">
        <x:v>8</x:v>
      </x:c>
      <x:c r="F547" t="n">
        <x:v>22</x:v>
      </x:c>
      <x:c r="G547" t="n">
        <x:v>300</x:v>
      </x:c>
      <x:c r="H547" t="n">
        <x:v>80000</x:v>
      </x:c>
      <x:c r="I547" t="n">
        <x:f>IF(C547="","",IFERROR(H547/E547/F547/G547/D547,0))</x:f>
        <x:v>0.00505050505050505</x:v>
      </x:c>
      <x:c r="J547" t="n">
        <x:v>0.62777055</x:v>
      </x:c>
      <x:c r="K547" t="n">
        <x:v>0.5</x:v>
      </x:c>
      <x:c r="L547" t="n">
        <x:f>IF(C547="","",IFERROR(J547*K547/D547,0))</x:f>
        <x:v>0.00104628425</x:v>
      </x:c>
      <x:c r="M547" t="n">
        <x:v>3.7</x:v>
      </x:c>
      <x:c r="N547" t="n">
        <x:v>0</x:v>
      </x:c>
      <x:c r="O547" t="n">
        <x:f>IF(C547="","",IFERROR(M547*N547/D547,0))</x:f>
        <x:v>0</x:v>
      </x:c>
      <x:c r="P547" t="n">
        <x:f>IF(C547="","",L547+O547)</x:f>
        <x:v>0.00104628425</x:v>
      </x:c>
      <x:c r="Q547" t="n">
        <x:v>0</x:v>
      </x:c>
      <x:c r="R547" t="n">
        <x:v>0</x:v>
      </x:c>
      <x:c r="S547" t="n">
        <x:v>0</x:v>
      </x:c>
      <x:c r="T547" t="n">
        <x:v>0</x:v>
      </x:c>
      <x:c r="U547" t="n">
        <x:v>2</x:v>
      </x:c>
      <x:c r="V547" t="n">
        <x:v>0</x:v>
      </x:c>
      <x:c r="W547" t="n">
        <x:v>2</x:v>
      </x:c>
      <x:c r="X547" t="n">
        <x:v>6000</x:v>
      </x:c>
      <x:c r="Y547" t="n">
        <x:v>11</x:v>
      </x:c>
      <x:c r="Z547" t="n">
        <x:v>25</x:v>
      </x:c>
      <x:c r="AA547" t="n">
        <x:f>IF(C547="","",IFERROR(W547*X547/Y547/Z547/D547,0))</x:f>
        <x:v>0.14545454545454548</x:v>
      </x:c>
      <x:c r="AB547" t="n">
        <x:v>0.995</x:v>
      </x:c>
      <x:c r="AC547" t="n">
        <x:f>IF(C547="","",IFERROR((I547+P547+(Q547+R547+S547+T547+U547+V547)/D547+AA547)/AB547,0))</x:f>
        <x:v>0.15901306675549465</x:v>
      </x:c>
    </x:row>
    <x:row r="548">
      <x:c r="A548" t="str">
        <x:v>FP32</x:v>
      </x:c>
      <x:c r="B548" t="str">
        <x:v>FPC电测（回路导通）</x:v>
      </x:c>
      <x:c r="C548" t="n">
        <x:v>12</x:v>
      </x:c>
      <x:c r="D548" t="n">
        <x:f>IF(C548="","",IFERROR(60*60/C548,0))</x:f>
        <x:v>300</x:v>
      </x:c>
      <x:c r="E548" t="n">
        <x:v>8</x:v>
      </x:c>
      <x:c r="F548" t="n">
        <x:v>22</x:v>
      </x:c>
      <x:c r="G548" t="n">
        <x:v>300</x:v>
      </x:c>
      <x:c r="H548" t="n">
        <x:v>500000</x:v>
      </x:c>
      <x:c r="I548" t="n">
        <x:f>IF(C548="","",IFERROR(H548/E548/F548/G548/D548,0))</x:f>
        <x:v>0.03156565656565657</x:v>
      </x:c>
      <x:c r="J548" t="n">
        <x:v>0.62777055</x:v>
      </x:c>
      <x:c r="K548" t="n">
        <x:v>2</x:v>
      </x:c>
      <x:c r="L548" t="n">
        <x:f>IF(C548="","",IFERROR(J548*K548/D548,0))</x:f>
        <x:v>0.004185137</x:v>
      </x:c>
      <x:c r="M548" t="n">
        <x:v>3.7</x:v>
      </x:c>
      <x:c r="N548" t="n">
        <x:v>0</x:v>
      </x:c>
      <x:c r="O548" t="n">
        <x:f>IF(C548="","",IFERROR(M548*N548/D548,0))</x:f>
        <x:v>0</x:v>
      </x:c>
      <x:c r="P548" t="n">
        <x:f>IF(C548="","",L548+O548)</x:f>
        <x:v>0.004185137</x:v>
      </x:c>
      <x:c r="Q548" t="n">
        <x:v>0</x:v>
      </x:c>
      <x:c r="R548" t="n">
        <x:v>0</x:v>
      </x:c>
      <x:c r="S548" t="n">
        <x:v>0</x:v>
      </x:c>
      <x:c r="T548" t="n">
        <x:v>0</x:v>
      </x:c>
      <x:c r="U548" t="n">
        <x:v>0</x:v>
      </x:c>
      <x:c r="V548" t="n">
        <x:v>0</x:v>
      </x:c>
      <x:c r="W548" t="n">
        <x:v>1</x:v>
      </x:c>
      <x:c r="X548" t="n">
        <x:v>6000</x:v>
      </x:c>
      <x:c r="Y548" t="n">
        <x:v>11</x:v>
      </x:c>
      <x:c r="Z548" t="n">
        <x:v>25</x:v>
      </x:c>
      <x:c r="AA548" t="n">
        <x:f>IF(C548="","",IFERROR(W548*X548/Y548/Z548/D548,0))</x:f>
        <x:v>0.07272727272727274</x:v>
      </x:c>
      <x:c r="AB548" t="n">
        <x:v>0.998</x:v>
      </x:c>
      <x:c r="AC548" t="n">
        <x:f>IF(C548="","",IFERROR((I548+P548+(Q548+R548+S548+T548+U548+V548)/D548+AA548)/AB548,0))</x:f>
        <x:v>0.108695457207344</x:v>
      </x:c>
    </x:row>
    <x:row r="549">
      <x:c r="A549" t="str">
        <x:v>FP33</x:v>
      </x:c>
      <x:c r="B549" t="str">
        <x:v>FPC终检</x:v>
      </x:c>
      <x:c r="C549" t="n">
        <x:v>15</x:v>
      </x:c>
      <x:c r="D549" t="n">
        <x:f>IF(C549="","",IFERROR(60*60/C549,0))</x:f>
        <x:v>240</x:v>
      </x:c>
      <x:c r="E549" t="n">
        <x:v>8</x:v>
      </x:c>
      <x:c r="F549" t="n">
        <x:v>22</x:v>
      </x:c>
      <x:c r="G549" t="n">
        <x:v>300</x:v>
      </x:c>
      <x:c r="H549" t="n">
        <x:v>50000</x:v>
      </x:c>
      <x:c r="I549" t="n">
        <x:f>IF(C549="","",IFERROR(H549/E549/F549/G549/D549,0))</x:f>
        <x:v>0.00394570707070707</x:v>
      </x:c>
      <x:c r="J549" t="n">
        <x:v>0.62777055</x:v>
      </x:c>
      <x:c r="K549" t="n">
        <x:v>0.2</x:v>
      </x:c>
      <x:c r="L549" t="n">
        <x:f>IF(C549="","",IFERROR(J549*K549/D549,0))</x:f>
        <x:v>0.0005231421250000001</x:v>
      </x:c>
      <x:c r="M549" t="n">
        <x:v>3.7</x:v>
      </x:c>
      <x:c r="N549" t="n">
        <x:v>0</x:v>
      </x:c>
      <x:c r="O549" t="n">
        <x:f>IF(C549="","",IFERROR(M549*N549/D549,0))</x:f>
        <x:v>0</x:v>
      </x:c>
      <x:c r="P549" t="n">
        <x:f>IF(C549="","",L549+O549)</x:f>
        <x:v>0.0005231421250000001</x:v>
      </x:c>
      <x:c r="Q549" t="n">
        <x:v>0</x:v>
      </x:c>
      <x:c r="R549" t="n">
        <x:v>0</x:v>
      </x:c>
      <x:c r="S549" t="n">
        <x:v>0</x:v>
      </x:c>
      <x:c r="T549" t="n">
        <x:v>0</x:v>
      </x:c>
      <x:c r="U549" t="n">
        <x:v>0</x:v>
      </x:c>
      <x:c r="V549" t="n">
        <x:v>0</x:v>
      </x:c>
      <x:c r="W549" t="n">
        <x:v>1</x:v>
      </x:c>
      <x:c r="X549" t="n">
        <x:v>6000</x:v>
      </x:c>
      <x:c r="Y549" t="n">
        <x:v>11</x:v>
      </x:c>
      <x:c r="Z549" t="n">
        <x:v>25</x:v>
      </x:c>
      <x:c r="AA549" t="n">
        <x:f>IF(C549="","",IFERROR(W549*X549/Y549/Z549/D549,0))</x:f>
        <x:v>0.09090909090909091</x:v>
      </x:c>
      <x:c r="AB549" t="n">
        <x:v>0.999</x:v>
      </x:c>
      <x:c r="AC549" t="n">
        <x:f>IF(C549="","",IFERROR((I549+P549+(Q549+R549+S549+T549+U549+V549)/D549+AA549)/AB549,0))</x:f>
        <x:v>0.0954734135183163</x:v>
      </x:c>
    </x:row>
    <x:row r="550">
      <x:c r="A550" t="str">
        <x:v>FP34</x:v>
      </x:c>
      <x:c r="B550" t="str">
        <x:v>FPC包装</x:v>
      </x:c>
      <x:c r="C550" t="n">
        <x:v>15</x:v>
      </x:c>
      <x:c r="D550" t="n">
        <x:f>IF(C550="","",IFERROR(60*60/C550,0))</x:f>
        <x:v>240</x:v>
      </x:c>
      <x:c r="E550" t="n">
        <x:v>8</x:v>
      </x:c>
      <x:c r="F550" t="n">
        <x:v>22</x:v>
      </x:c>
      <x:c r="G550" t="n">
        <x:v>300</x:v>
      </x:c>
      <x:c r="H550" t="n">
        <x:v>10000</x:v>
      </x:c>
      <x:c r="I550" t="n">
        <x:f>IF(C550="","",IFERROR(H550/E550/F550/G550/D550,0))</x:f>
        <x:v>0.0007891414141414141</x:v>
      </x:c>
      <x:c r="J550" t="n">
        <x:v>0.62777055</x:v>
      </x:c>
      <x:c r="K550" t="n">
        <x:v>0.1</x:v>
      </x:c>
      <x:c r="L550" t="n">
        <x:f>IF(C550="","",IFERROR(J550*K550/D550,0))</x:f>
        <x:v>0.00026157106250000007</x:v>
      </x:c>
      <x:c r="M550" t="n">
        <x:v>3.7</x:v>
      </x:c>
      <x:c r="N550" t="n">
        <x:v>0</x:v>
      </x:c>
      <x:c r="O550" t="n">
        <x:f>IF(C550="","",IFERROR(M550*N550/D550,0))</x:f>
        <x:v>0</x:v>
      </x:c>
      <x:c r="P550" t="n">
        <x:f>IF(C550="","",L550+O550)</x:f>
        <x:v>0.00026157106250000007</x:v>
      </x:c>
      <x:c r="Q550" t="n">
        <x:v>0</x:v>
      </x:c>
      <x:c r="R550" t="n">
        <x:v>0</x:v>
      </x:c>
      <x:c r="S550" t="n">
        <x:v>0</x:v>
      </x:c>
      <x:c r="T550" t="n">
        <x:v>0</x:v>
      </x:c>
      <x:c r="U550" t="n">
        <x:v>1</x:v>
      </x:c>
      <x:c r="V550" t="n">
        <x:v>0</x:v>
      </x:c>
      <x:c r="W550" t="n">
        <x:v>1</x:v>
      </x:c>
      <x:c r="X550" t="n">
        <x:v>6000</x:v>
      </x:c>
      <x:c r="Y550" t="n">
        <x:v>11</x:v>
      </x:c>
      <x:c r="Z550" t="n">
        <x:v>25</x:v>
      </x:c>
      <x:c r="AA550" t="n">
        <x:f>IF(C550="","",IFERROR(W550*X550/Y550/Z550/D550,0))</x:f>
        <x:v>0.09090909090909091</x:v>
      </x:c>
      <x:c r="AB550" t="n">
        <x:v>0.999</x:v>
      </x:c>
      <x:c r="AC550" t="n">
        <x:f>IF(C550="","",IFERROR((I550+P550+(Q550+R550+S550+T550+U550+V550)/D550+AA550)/AB550,0))</x:f>
        <x:v>0.09622269274514414</x:v>
      </x:c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  <x:c r="AA551"/>
      <x:c r="AB551"/>
      <x:c r="AC551"/>
    </x:row>
    <x:row r="552">
      <x:c r="A552" t="str">
        <x:v>贴膜工序</x:v>
      </x:c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  <x:c r="AA552"/>
      <x:c r="AB552"/>
      <x:c r="AC552"/>
    </x:row>
    <x:row r="553">
      <x:c r="A553" t="str">
        <x:v>FM10</x:v>
      </x:c>
      <x:c r="B553" t="str">
        <x:v>贴保护膜</x:v>
      </x:c>
      <x:c r="C553" t="n">
        <x:v>30</x:v>
      </x:c>
      <x:c r="D553" t="n">
        <x:f>IF(C553="","",IFERROR(60*60/C553,0))</x:f>
        <x:v>120</x:v>
      </x:c>
      <x:c r="E553" t="n">
        <x:v>8</x:v>
      </x:c>
      <x:c r="F553" t="n">
        <x:v>22</x:v>
      </x:c>
      <x:c r="G553" t="n">
        <x:v>300</x:v>
      </x:c>
      <x:c r="H553" t="n">
        <x:v>45000</x:v>
      </x:c>
      <x:c r="I553" t="n">
        <x:f>IF(C553="","",IFERROR(H553/E553/F553/G553/D553,0))</x:f>
        <x:v>0.007102272727272727</x:v>
      </x:c>
      <x:c r="J553" t="n">
        <x:v>0.62777055</x:v>
      </x:c>
      <x:c r="K553" t="n">
        <x:v>0.5</x:v>
      </x:c>
      <x:c r="L553" t="n">
        <x:f>IF(C553="","",IFERROR(J553*K553/D553,0))</x:f>
        <x:v>0.0026157106250000004</x:v>
      </x:c>
      <x:c r="M553" t="n">
        <x:v>3.7</x:v>
      </x:c>
      <x:c r="N553" t="n">
        <x:v>0</x:v>
      </x:c>
      <x:c r="O553" t="n">
        <x:f>IF(C553="","",IFERROR(M553*N553/D553,0))</x:f>
        <x:v>0</x:v>
      </x:c>
      <x:c r="P553" t="n">
        <x:f>IF(C553="","",L553+O553)</x:f>
        <x:v>0.0026157106250000004</x:v>
      </x:c>
      <x:c r="Q553" t="n">
        <x:v>0</x:v>
      </x:c>
      <x:c r="R553" t="n">
        <x:v>0</x:v>
      </x:c>
      <x:c r="S553" t="n">
        <x:v>0</x:v>
      </x:c>
      <x:c r="T553" t="n">
        <x:v>0</x:v>
      </x:c>
      <x:c r="U553" t="n">
        <x:v>1</x:v>
      </x:c>
      <x:c r="V553" t="n">
        <x:v>0</x:v>
      </x:c>
      <x:c r="W553" t="n">
        <x:v>2</x:v>
      </x:c>
      <x:c r="X553" t="n">
        <x:v>6000</x:v>
      </x:c>
      <x:c r="Y553" t="n">
        <x:v>11</x:v>
      </x:c>
      <x:c r="Z553" t="n">
        <x:v>25</x:v>
      </x:c>
      <x:c r="AA553" t="n">
        <x:f>IF(C553="","",IFERROR(W553*X553/Y553/Z553/D553,0))</x:f>
        <x:v>0.36363636363636365</x:v>
      </x:c>
      <x:c r="AB553" t="n">
        <x:v>0.98</x:v>
      </x:c>
      <x:c r="AC553" t="n">
        <x:f>IF(C553="","",IFERROR((I553+P553+(Q553+R553+S553+T553+U553+V553)/D553+AA553)/AB553,0))</x:f>
        <x:v>0.38947722481833646</x:v>
      </x:c>
    </x:row>
    <x:row r="554">
      <x:c r="A554" t="str">
        <x:v>FM20</x:v>
      </x:c>
      <x:c r="B554" t="str">
        <x:v>贴装饰/改色膜</x:v>
      </x:c>
      <x:c r="C554" t="n">
        <x:v>45</x:v>
      </x:c>
      <x:c r="D554" t="n">
        <x:f>IF(C554="","",IFERROR(60*60/C554,0))</x:f>
        <x:v>80</x:v>
      </x:c>
      <x:c r="E554" t="n">
        <x:v>8</x:v>
      </x:c>
      <x:c r="F554" t="n">
        <x:v>22</x:v>
      </x:c>
      <x:c r="G554" t="n">
        <x:v>300</x:v>
      </x:c>
      <x:c r="H554" t="n">
        <x:v>45000</x:v>
      </x:c>
      <x:c r="I554" t="n">
        <x:f>IF(C554="","",IFERROR(H554/E554/F554/G554/D554,0))</x:f>
        <x:v>0.010653409090909092</x:v>
      </x:c>
      <x:c r="J554" t="n">
        <x:v>0.62777055</x:v>
      </x:c>
      <x:c r="K554" t="n">
        <x:v>0.5</x:v>
      </x:c>
      <x:c r="L554" t="n">
        <x:f>IF(C554="","",IFERROR(J554*K554/D554,0))</x:f>
        <x:v>0.0039235659375</x:v>
      </x:c>
      <x:c r="M554" t="n">
        <x:v>3.7</x:v>
      </x:c>
      <x:c r="N554" t="n">
        <x:v>0</x:v>
      </x:c>
      <x:c r="O554" t="n">
        <x:f>IF(C554="","",IFERROR(M554*N554/D554,0))</x:f>
        <x:v>0</x:v>
      </x:c>
      <x:c r="P554" t="n">
        <x:f>IF(C554="","",L554+O554)</x:f>
        <x:v>0.0039235659375</x:v>
      </x:c>
      <x:c r="Q554" t="n">
        <x:v>0</x:v>
      </x:c>
      <x:c r="R554" t="n">
        <x:v>0</x:v>
      </x:c>
      <x:c r="S554" t="n">
        <x:v>0</x:v>
      </x:c>
      <x:c r="T554" t="n">
        <x:v>0</x:v>
      </x:c>
      <x:c r="U554" t="n">
        <x:v>1</x:v>
      </x:c>
      <x:c r="V554" t="n">
        <x:v>0</x:v>
      </x:c>
      <x:c r="W554" t="n">
        <x:v>2</x:v>
      </x:c>
      <x:c r="X554" t="n">
        <x:v>6000</x:v>
      </x:c>
      <x:c r="Y554" t="n">
        <x:v>11</x:v>
      </x:c>
      <x:c r="Z554" t="n">
        <x:v>25</x:v>
      </x:c>
      <x:c r="AA554" t="n">
        <x:f>IF(C554="","",IFERROR(W554*X554/Y554/Z554/D554,0))</x:f>
        <x:v>0.5454545454545455</x:v>
      </x:c>
      <x:c r="AB554" t="n">
        <x:v>0.97</x:v>
      </x:c>
      <x:c r="AC554" t="n">
        <x:f>IF(C554="","",IFERROR((I554+P554+(Q554+R554+S554+T554+U554+V554)/D554+AA554)/AB554,0))</x:f>
        <x:v>0.5902386809102625</x:v>
      </x:c>
    </x:row>
    <x:row r="555">
      <x:c r="A555" t="str">
        <x:v>FM30</x:v>
      </x:c>
      <x:c r="B555" t="str">
        <x:v>贴TPU保护膜</x:v>
      </x:c>
      <x:c r="C555" t="n">
        <x:v>60</x:v>
      </x:c>
      <x:c r="D555" t="n">
        <x:f>IF(C555="","",IFERROR(60*60/C555,0))</x:f>
        <x:v>60</x:v>
      </x:c>
      <x:c r="E555" t="n">
        <x:v>8</x:v>
      </x:c>
      <x:c r="F555" t="n">
        <x:v>22</x:v>
      </x:c>
      <x:c r="G555" t="n">
        <x:v>300</x:v>
      </x:c>
      <x:c r="H555" t="n">
        <x:v>80000</x:v>
      </x:c>
      <x:c r="I555" t="n">
        <x:f>IF(C555="","",IFERROR(H555/E555/F555/G555/D555,0))</x:f>
        <x:v>0.025252525252525252</x:v>
      </x:c>
      <x:c r="J555" t="n">
        <x:v>0.62777055</x:v>
      </x:c>
      <x:c r="K555" t="n">
        <x:v>1</x:v>
      </x:c>
      <x:c r="L555" t="n">
        <x:f>IF(C555="","",IFERROR(J555*K555/D555,0))</x:f>
        <x:v>0.010462842500000001</x:v>
      </x:c>
      <x:c r="M555" t="n">
        <x:v>3.7</x:v>
      </x:c>
      <x:c r="N555" t="n">
        <x:v>0</x:v>
      </x:c>
      <x:c r="O555" t="n">
        <x:f>IF(C555="","",IFERROR(M555*N555/D555,0))</x:f>
        <x:v>0</x:v>
      </x:c>
      <x:c r="P555" t="n">
        <x:f>IF(C555="","",L555+O555)</x:f>
        <x:v>0.010462842500000001</x:v>
      </x:c>
      <x:c r="Q555" t="n">
        <x:v>0</x:v>
      </x:c>
      <x:c r="R555" t="n">
        <x:v>0</x:v>
      </x:c>
      <x:c r="S555" t="n">
        <x:v>1</x:v>
      </x:c>
      <x:c r="T555" t="n">
        <x:v>0</x:v>
      </x:c>
      <x:c r="U555" t="n">
        <x:v>1</x:v>
      </x:c>
      <x:c r="V555" t="n">
        <x:v>0</x:v>
      </x:c>
      <x:c r="W555" t="n">
        <x:v>2</x:v>
      </x:c>
      <x:c r="X555" t="n">
        <x:v>6000</x:v>
      </x:c>
      <x:c r="Y555" t="n">
        <x:v>11</x:v>
      </x:c>
      <x:c r="Z555" t="n">
        <x:v>25</x:v>
      </x:c>
      <x:c r="AA555" t="n">
        <x:f>IF(C555="","",IFERROR(W555*X555/Y555/Z555/D555,0))</x:f>
        <x:v>0.7272727272727273</x:v>
      </x:c>
      <x:c r="AB555" t="n">
        <x:v>0.96</x:v>
      </x:c>
      <x:c r="AC555" t="n">
        <x:f>IF(C555="","",IFERROR((I555+P555+(Q555+R555+S555+T555+U555+V555)/D555+AA555)/AB555,0))</x:f>
        <x:v>0.829501487873527</x:v>
      </x:c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  <x:c r="AA556"/>
      <x:c r="AB556"/>
      <x:c r="AC556"/>
    </x:row>
    <x:row r="557">
      <x:c r="A557" t="str">
        <x:v>烤漆/喷漆工艺</x:v>
      </x:c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  <x:c r="AA557"/>
      <x:c r="AB557"/>
      <x:c r="AC557"/>
    </x:row>
    <x:row r="558">
      <x:c r="A558" t="str">
        <x:v>PA60</x:v>
      </x:c>
      <x:c r="B558" t="str">
        <x:v>塑料件活化/附着底涂</x:v>
      </x:c>
      <x:c r="C558" t="n">
        <x:v>12</x:v>
      </x:c>
      <x:c r="D558" t="n">
        <x:f>IF(C558="","",IFERROR(60*60/C558,0))</x:f>
        <x:v>300</x:v>
      </x:c>
      <x:c r="E558" t="n">
        <x:v>8</x:v>
      </x:c>
      <x:c r="F558" t="n">
        <x:v>22</x:v>
      </x:c>
      <x:c r="G558" t="n">
        <x:v>300</x:v>
      </x:c>
      <x:c r="H558" t="n">
        <x:v>650000</x:v>
      </x:c>
      <x:c r="I558" t="n">
        <x:f>IF(C558="","",IFERROR(H558/E558/F558/G558/D558,0))</x:f>
        <x:v>0.041035353535353536</x:v>
      </x:c>
      <x:c r="J558" t="n">
        <x:v>0.62777055</x:v>
      </x:c>
      <x:c r="K558" t="n">
        <x:v>12</x:v>
      </x:c>
      <x:c r="L558" t="n">
        <x:f>IF(C558="","",IFERROR(J558*K558/D558,0))</x:f>
        <x:v>0.025110822</x:v>
      </x:c>
      <x:c r="M558" t="n">
        <x:v>3.7</x:v>
      </x:c>
      <x:c r="N558" t="n">
        <x:v>1</x:v>
      </x:c>
      <x:c r="O558" t="n">
        <x:f>IF(C558="","",IFERROR(M558*N558/D558,0))</x:f>
        <x:v>0.012333333333333333</x:v>
      </x:c>
      <x:c r="P558" t="n">
        <x:f>IF(C558="","",L558+O558)</x:f>
        <x:v>0.03744415533333333</x:v>
      </x:c>
      <x:c r="Q558" t="n">
        <x:v>0</x:v>
      </x:c>
      <x:c r="R558" t="n">
        <x:v>0</x:v>
      </x:c>
      <x:c r="S558" t="n">
        <x:v>0</x:v>
      </x:c>
      <x:c r="T558" t="n">
        <x:v>0</x:v>
      </x:c>
      <x:c r="U558" t="n">
        <x:v>0</x:v>
      </x:c>
      <x:c r="V558" t="n">
        <x:v>0</x:v>
      </x:c>
      <x:c r="W558" t="n">
        <x:v>2</x:v>
      </x:c>
      <x:c r="X558" t="n">
        <x:v>6000</x:v>
      </x:c>
      <x:c r="Y558" t="n">
        <x:v>11</x:v>
      </x:c>
      <x:c r="Z558" t="n">
        <x:v>25</x:v>
      </x:c>
      <x:c r="AA558" t="n">
        <x:f>IF(C558="","",IFERROR(W558*X558/Y558/Z558/D558,0))</x:f>
        <x:v>0.14545454545454548</x:v>
      </x:c>
      <x:c r="AB558" t="n">
        <x:v>0.98</x:v>
      </x:c>
      <x:c r="AC558" t="n">
        <x:f>IF(C558="","",IFERROR((I558+P558+(Q558+R558+S558+T558+U558+V558)/D558+AA558)/AB558,0))</x:f>
        <x:v>0.2285041370645228</x:v>
      </x:c>
    </x:row>
    <x:row r="559">
      <x:c r="A559" t="str">
        <x:v>PA70</x:v>
      </x:c>
      <x:c r="B559" t="str">
        <x:v>烤漆固化</x:v>
      </x:c>
      <x:c r="C559" t="n">
        <x:v>25</x:v>
      </x:c>
      <x:c r="D559" t="n">
        <x:f>IF(C559="","",IFERROR(60*60/C559,0))</x:f>
        <x:v>144</x:v>
      </x:c>
      <x:c r="E559" t="n">
        <x:v>8</x:v>
      </x:c>
      <x:c r="F559" t="n">
        <x:v>22</x:v>
      </x:c>
      <x:c r="G559" t="n">
        <x:v>300</x:v>
      </x:c>
      <x:c r="H559" t="n">
        <x:v>2200000</x:v>
      </x:c>
      <x:c r="I559" t="n">
        <x:f>IF(C559="","",IFERROR(H559/E559/F559/G559/D559,0))</x:f>
        <x:v>0.28935185185185186</x:v>
      </x:c>
      <x:c r="J559" t="n">
        <x:v>0.62777055</x:v>
      </x:c>
      <x:c r="K559" t="n">
        <x:v>160</x:v>
      </x:c>
      <x:c r="L559" t="n">
        <x:f>IF(C559="","",IFERROR(J559*K559/D559,0))</x:f>
        <x:v>0.6975228333333334</x:v>
      </x:c>
      <x:c r="M559" t="n">
        <x:v>3.7</x:v>
      </x:c>
      <x:c r="N559" t="n">
        <x:v>10</x:v>
      </x:c>
      <x:c r="O559" t="n">
        <x:f>IF(C559="","",IFERROR(M559*N559/D559,0))</x:f>
        <x:v>0.2569444444444444</x:v>
      </x:c>
      <x:c r="P559" t="n">
        <x:f>IF(C559="","",L559+O559)</x:f>
        <x:v>0.9544672777777778</x:v>
      </x:c>
      <x:c r="Q559" t="n">
        <x:v>0</x:v>
      </x:c>
      <x:c r="R559" t="n">
        <x:v>0</x:v>
      </x:c>
      <x:c r="S559" t="n">
        <x:v>0</x:v>
      </x:c>
      <x:c r="T559" t="n">
        <x:v>0</x:v>
      </x:c>
      <x:c r="U559" t="n">
        <x:v>0</x:v>
      </x:c>
      <x:c r="V559" t="n">
        <x:v>0</x:v>
      </x:c>
      <x:c r="W559" t="n">
        <x:v>3</x:v>
      </x:c>
      <x:c r="X559" t="n">
        <x:v>6000</x:v>
      </x:c>
      <x:c r="Y559" t="n">
        <x:v>11</x:v>
      </x:c>
      <x:c r="Z559" t="n">
        <x:v>25</x:v>
      </x:c>
      <x:c r="AA559" t="n">
        <x:f>IF(C559="","",IFERROR(W559*X559/Y559/Z559/D559,0))</x:f>
        <x:v>0.45454545454545453</x:v>
      </x:c>
      <x:c r="AB559" t="n">
        <x:v>0.98</x:v>
      </x:c>
      <x:c r="AC559" t="n">
        <x:f>IF(C559="","",IFERROR((I559+P559+(Q559+R559+S559+T559+U559+V559)/D559+AA559)/AB559,0))</x:f>
        <x:v>1.7330250858929432</x:v>
      </x:c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  <x:c r="AA560"/>
      <x:c r="AB560"/>
      <x:c r="AC560"/>
    </x:row>
    <x:row r="561">
      <x:c r="A561" t="str">
        <x:v>阳极氧化工序</x:v>
      </x:c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  <x:c r="AA561"/>
      <x:c r="AB561"/>
      <x:c r="AC561"/>
    </x:row>
    <x:row r="562">
      <x:c r="A562" t="str">
        <x:v>AN10</x:v>
      </x:c>
      <x:c r="B562" t="str">
        <x:v>本色阳极氧化整线</x:v>
      </x:c>
      <x:c r="C562" t="n">
        <x:v>40</x:v>
      </x:c>
      <x:c r="D562" t="n">
        <x:f>IF(C562="","",IFERROR(60*60/C562,0))</x:f>
        <x:v>90</x:v>
      </x:c>
      <x:c r="E562" t="n">
        <x:v>8</x:v>
      </x:c>
      <x:c r="F562" t="n">
        <x:v>22</x:v>
      </x:c>
      <x:c r="G562" t="n">
        <x:v>300</x:v>
      </x:c>
      <x:c r="H562" t="n">
        <x:v>2600000</x:v>
      </x:c>
      <x:c r="I562" t="n">
        <x:f>IF(C562="","",IFERROR(H562/E562/F562/G562/D562,0))</x:f>
        <x:v>0.5471380471380471</x:v>
      </x:c>
      <x:c r="J562" t="n">
        <x:v>0.62777055</x:v>
      </x:c>
      <x:c r="K562" t="n">
        <x:v>80</x:v>
      </x:c>
      <x:c r="L562" t="n">
        <x:f>IF(C562="","",IFERROR(J562*K562/D562,0))</x:f>
        <x:v>0.5580182666666668</x:v>
      </x:c>
      <x:c r="M562" t="n">
        <x:v>3.7</x:v>
      </x:c>
      <x:c r="N562" t="n">
        <x:v>0</x:v>
      </x:c>
      <x:c r="O562" t="n">
        <x:f>IF(C562="","",IFERROR(M562*N562/D562,0))</x:f>
        <x:v>0</x:v>
      </x:c>
      <x:c r="P562" t="n">
        <x:f>IF(C562="","",L562+O562)</x:f>
        <x:v>0.5580182666666668</x:v>
      </x:c>
      <x:c r="Q562" t="n">
        <x:v>0</x:v>
      </x:c>
      <x:c r="R562" t="n">
        <x:v>0</x:v>
      </x:c>
      <x:c r="S562" t="n">
        <x:v>8</x:v>
      </x:c>
      <x:c r="T562" t="n">
        <x:v>0</x:v>
      </x:c>
      <x:c r="U562" t="n">
        <x:v>6</x:v>
      </x:c>
      <x:c r="V562" t="n">
        <x:v>0</x:v>
      </x:c>
      <x:c r="W562" t="n">
        <x:v>4</x:v>
      </x:c>
      <x:c r="X562" t="n">
        <x:v>6000</x:v>
      </x:c>
      <x:c r="Y562" t="n">
        <x:v>11</x:v>
      </x:c>
      <x:c r="Z562" t="n">
        <x:v>25</x:v>
      </x:c>
      <x:c r="AA562" t="n">
        <x:f>IF(C562="","",IFERROR(W562*X562/Y562/Z562/D562,0))</x:f>
        <x:v>0.9696969696969698</x:v>
      </x:c>
      <x:c r="AB562" t="n">
        <x:v>0.97</x:v>
      </x:c>
      <x:c r="AC562" t="n">
        <x:f>IF(C562="","",IFERROR((I562+P562+(Q562+R562+S562+T562+U562+V562)/D562+AA562)/AB562,0))</x:f>
        <x:v>2.2993905557291123</x:v>
      </x:c>
    </x:row>
    <x:row r="563">
      <x:c r="A563" t="str">
        <x:v>AN20</x:v>
      </x:c>
      <x:c r="B563" t="str">
        <x:v>彩色阳极氧化整线</x:v>
      </x:c>
      <x:c r="C563" t="n">
        <x:v>50</x:v>
      </x:c>
      <x:c r="D563" t="n">
        <x:f>IF(C563="","",IFERROR(60*60/C563,0))</x:f>
        <x:v>72</x:v>
      </x:c>
      <x:c r="E563" t="n">
        <x:v>8</x:v>
      </x:c>
      <x:c r="F563" t="n">
        <x:v>22</x:v>
      </x:c>
      <x:c r="G563" t="n">
        <x:v>300</x:v>
      </x:c>
      <x:c r="H563" t="n">
        <x:v>3200000</x:v>
      </x:c>
      <x:c r="I563" t="n">
        <x:f>IF(C563="","",IFERROR(H563/E563/F563/G563/D563,0))</x:f>
        <x:v>0.8417508417508417</x:v>
      </x:c>
      <x:c r="J563" t="n">
        <x:v>0.62777055</x:v>
      </x:c>
      <x:c r="K563" t="n">
        <x:v>95</x:v>
      </x:c>
      <x:c r="L563" t="n">
        <x:f>IF(C563="","",IFERROR(J563*K563/D563,0))</x:f>
        <x:v>0.8283083645833335</x:v>
      </x:c>
      <x:c r="M563" t="n">
        <x:v>3.7</x:v>
      </x:c>
      <x:c r="N563" t="n">
        <x:v>0</x:v>
      </x:c>
      <x:c r="O563" t="n">
        <x:f>IF(C563="","",IFERROR(M563*N563/D563,0))</x:f>
        <x:v>0</x:v>
      </x:c>
      <x:c r="P563" t="n">
        <x:f>IF(C563="","",L563+O563)</x:f>
        <x:v>0.8283083645833335</x:v>
      </x:c>
      <x:c r="Q563" t="n">
        <x:v>0</x:v>
      </x:c>
      <x:c r="R563" t="n">
        <x:v>0</x:v>
      </x:c>
      <x:c r="S563" t="n">
        <x:v>9</x:v>
      </x:c>
      <x:c r="T563" t="n">
        <x:v>0</x:v>
      </x:c>
      <x:c r="U563" t="n">
        <x:v>8</x:v>
      </x:c>
      <x:c r="V563" t="n">
        <x:v>0</x:v>
      </x:c>
      <x:c r="W563" t="n">
        <x:v>4</x:v>
      </x:c>
      <x:c r="X563" t="n">
        <x:v>6000</x:v>
      </x:c>
      <x:c r="Y563" t="n">
        <x:v>11</x:v>
      </x:c>
      <x:c r="Z563" t="n">
        <x:v>25</x:v>
      </x:c>
      <x:c r="AA563" t="n">
        <x:f>IF(C563="","",IFERROR(W563*X563/Y563/Z563/D563,0))</x:f>
        <x:v>1.2121212121212122</x:v>
      </x:c>
      <x:c r="AB563" t="n">
        <x:v>0.96</x:v>
      </x:c>
      <x:c r="AC563" t="n">
        <x:f>IF(C563="","",IFERROR((I563+P563+(Q563+R563+S563+T563+U563+V563)/D563+AA563)/AB563,0))</x:f>
        <x:v>3.248220343298436</x:v>
      </x:c>
    </x:row>
    <x:row r="564">
      <x:c r="A564" t="str">
        <x:v>AN30</x:v>
      </x:c>
      <x:c r="B564" t="str">
        <x:v>硬质阳极氧化整线</x:v>
      </x:c>
      <x:c r="C564" t="n">
        <x:v>70</x:v>
      </x:c>
      <x:c r="D564" t="n">
        <x:f>IF(C564="","",IFERROR(60*60/C564,0))</x:f>
        <x:v>51.42857142857143</x:v>
      </x:c>
      <x:c r="E564" t="n">
        <x:v>8</x:v>
      </x:c>
      <x:c r="F564" t="n">
        <x:v>22</x:v>
      </x:c>
      <x:c r="G564" t="n">
        <x:v>300</x:v>
      </x:c>
      <x:c r="H564" t="n">
        <x:v>4200000</x:v>
      </x:c>
      <x:c r="I564" t="n">
        <x:f>IF(C564="","",IFERROR(H564/E564/F564/G564/D564,0))</x:f>
        <x:v>1.5467171717171717</x:v>
      </x:c>
      <x:c r="J564" t="n">
        <x:v>0.62777055</x:v>
      </x:c>
      <x:c r="K564" t="n">
        <x:v>120</x:v>
      </x:c>
      <x:c r="L564" t="n">
        <x:f>IF(C564="","",IFERROR(J564*K564/D564,0))</x:f>
        <x:v>1.4647979500000001</x:v>
      </x:c>
      <x:c r="M564" t="n">
        <x:v>3.7</x:v>
      </x:c>
      <x:c r="N564" t="n">
        <x:v>0</x:v>
      </x:c>
      <x:c r="O564" t="n">
        <x:f>IF(C564="","",IFERROR(M564*N564/D564,0))</x:f>
        <x:v>0</x:v>
      </x:c>
      <x:c r="P564" t="n">
        <x:f>IF(C564="","",L564+O564)</x:f>
        <x:v>1.4647979500000001</x:v>
      </x:c>
      <x:c r="Q564" t="n">
        <x:v>0</x:v>
      </x:c>
      <x:c r="R564" t="n">
        <x:v>0</x:v>
      </x:c>
      <x:c r="S564" t="n">
        <x:v>12</x:v>
      </x:c>
      <x:c r="T564" t="n">
        <x:v>0</x:v>
      </x:c>
      <x:c r="U564" t="n">
        <x:v>10</x:v>
      </x:c>
      <x:c r="V564" t="n">
        <x:v>0</x:v>
      </x:c>
      <x:c r="W564" t="n">
        <x:v>4</x:v>
      </x:c>
      <x:c r="X564" t="n">
        <x:v>6000</x:v>
      </x:c>
      <x:c r="Y564" t="n">
        <x:v>11</x:v>
      </x:c>
      <x:c r="Z564" t="n">
        <x:v>25</x:v>
      </x:c>
      <x:c r="AA564" t="n">
        <x:f>IF(C564="","",IFERROR(W564*X564/Y564/Z564/D564,0))</x:f>
        <x:v>1.696969696969697</x:v>
      </x:c>
      <x:c r="AB564" t="n">
        <x:v>0.95</x:v>
      </x:c>
      <x:c r="AC564" t="n">
        <x:f>IF(C564="","",IFERROR((I564+P564+(Q564+R564+S564+T564+U564+V564)/D564+AA564)/AB564,0))</x:f>
        <x:v>5.40659220680489</x:v>
      </x:c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  <x:c r="AA565"/>
      <x:c r="AB565"/>
      <x:c r="AC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  <x:c r="AA566"/>
      <x:c r="AB566"/>
      <x:c r="AC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  <x:c r="AA567"/>
      <x:c r="AB567"/>
      <x:c r="AC567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  <x:c r="AA569"/>
      <x:c r="AB569"/>
      <x:c r="AC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  <x:c r="AA570"/>
      <x:c r="AB570"/>
      <x:c r="AC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  <x:c r="AA571"/>
      <x:c r="AB571"/>
      <x:c r="AC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  <x:c r="AA572"/>
      <x:c r="AB572"/>
      <x:c r="AC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  <x:c r="AA573"/>
      <x:c r="AB573"/>
      <x:c r="AC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  <x:c r="AA574"/>
      <x:c r="AB574"/>
      <x:c r="AC574"/>
    </x:row>
    <x:row r="575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  <x:c r="AA575"/>
      <x:c r="AB575"/>
      <x:c r="AC575"/>
    </x:row>
    <x:row r="576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  <x:c r="AA576"/>
      <x:c r="AB576"/>
      <x:c r="AC576"/>
    </x:row>
    <x:row r="577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  <x:c r="AA577"/>
      <x:c r="AB577"/>
      <x:c r="AC577"/>
    </x:row>
    <x:row r="578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  <x:c r="AA578"/>
      <x:c r="AB578"/>
      <x:c r="AC578"/>
    </x:row>
    <x:row r="579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  <x:c r="AA579"/>
      <x:c r="AB579"/>
      <x:c r="AC579"/>
    </x:row>
    <x:row r="580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  <x:c r="AA580"/>
      <x:c r="AB580"/>
      <x:c r="AC580"/>
    </x:row>
    <x:row r="582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  <x:c r="AA582"/>
      <x:c r="AB582"/>
      <x:c r="AC582"/>
    </x:row>
    <x:row r="583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  <x:c r="AA583"/>
      <x:c r="AB583"/>
      <x:c r="AC583"/>
    </x:row>
    <x:row r="584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  <x:c r="AA584"/>
      <x:c r="AB584"/>
      <x:c r="AC584"/>
    </x:row>
    <x:row r="585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  <x:c r="AA585"/>
      <x:c r="AB585"/>
      <x:c r="AC585"/>
    </x:row>
    <x:row r="586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  <x:c r="AA586"/>
      <x:c r="AB586"/>
      <x:c r="AC586"/>
    </x:row>
    <x:row r="587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  <x:c r="AA587"/>
      <x:c r="AB587"/>
      <x:c r="AC587"/>
    </x:row>
    <x:row r="588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  <x:c r="AA588"/>
      <x:c r="AB588"/>
      <x:c r="AC588"/>
    </x:row>
    <x:row r="589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  <x:c r="AA589"/>
      <x:c r="AB589"/>
      <x:c r="AC589"/>
    </x:row>
    <x:row r="590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  <x:c r="AA590"/>
      <x:c r="AB590"/>
      <x:c r="AC590"/>
    </x:row>
    <x:row r="59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  <x:c r="AA591"/>
      <x:c r="AB591"/>
      <x:c r="AC591"/>
    </x:row>
    <x:row r="592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  <x:c r="AA592"/>
      <x:c r="AB592"/>
      <x:c r="AC592"/>
    </x:row>
    <x:row r="593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  <x:c r="AA593"/>
      <x:c r="AB593"/>
      <x:c r="AC593"/>
    </x:row>
    <x:row r="594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  <x:c r="AA594"/>
      <x:c r="AB594"/>
      <x:c r="AC594"/>
    </x:row>
    <x:row r="595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  <x:c r="AA595"/>
      <x:c r="AB595"/>
      <x:c r="AC595"/>
    </x:row>
    <x:row r="597">
      <x:c r="A597"/>
      <x:c r="B597"/>
      <x:c r="C597"/>
      <x:c r="D597"/>
      <x:c r="E597"/>
      <x:c r="F597"/>
      <x:c r="G597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  <x:c r="AA597"/>
      <x:c r="AB597"/>
      <x:c r="AC597"/>
    </x:row>
    <x:row r="598">
      <x:c r="A598"/>
      <x:c r="B598"/>
      <x:c r="C598"/>
      <x:c r="D598"/>
      <x:c r="E598"/>
      <x:c r="F598"/>
      <x:c r="G598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  <x:c r="AA598"/>
      <x:c r="AB598"/>
      <x:c r="AC598"/>
    </x:row>
    <x:row r="599">
      <x:c r="A599"/>
      <x:c r="B599"/>
      <x:c r="C599"/>
      <x:c r="D599"/>
      <x:c r="E599"/>
      <x:c r="F599"/>
      <x:c r="G599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  <x:c r="AA599"/>
      <x:c r="AB599"/>
      <x:c r="AC599"/>
    </x:row>
    <x:row r="600">
      <x:c r="A600"/>
      <x:c r="B600"/>
      <x:c r="C600"/>
      <x:c r="D600"/>
      <x:c r="E600"/>
      <x:c r="F600"/>
      <x:c r="G600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  <x:c r="AA600"/>
      <x:c r="AB600"/>
      <x:c r="AC600"/>
    </x:row>
    <x:row r="601">
      <x:c r="A601"/>
      <x:c r="B601"/>
      <x:c r="C601"/>
      <x:c r="D601"/>
      <x:c r="E601"/>
      <x:c r="F601"/>
      <x:c r="G601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  <x:c r="AA601"/>
      <x:c r="AB601"/>
      <x:c r="AC601"/>
    </x:row>
    <x:row r="602">
      <x:c r="A602"/>
      <x:c r="B602"/>
      <x:c r="C602"/>
      <x:c r="D602"/>
      <x:c r="E602"/>
      <x:c r="F602"/>
      <x:c r="G602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  <x:c r="AA602"/>
      <x:c r="AB602"/>
      <x:c r="AC602"/>
    </x:row>
    <x:row r="603">
      <x:c r="A603"/>
      <x:c r="B603"/>
      <x:c r="C603"/>
      <x:c r="D603"/>
      <x:c r="E603"/>
      <x:c r="F603"/>
      <x:c r="G603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  <x:c r="AA603"/>
      <x:c r="AB603"/>
      <x:c r="AC603"/>
    </x:row>
    <x:row r="604">
      <x:c r="A604"/>
      <x:c r="B604"/>
      <x:c r="C604"/>
      <x:c r="D604"/>
      <x:c r="E604"/>
      <x:c r="F604"/>
      <x:c r="G604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  <x:c r="AA604"/>
      <x:c r="AB604"/>
      <x:c r="AC604"/>
    </x:row>
    <x:row r="605">
      <x:c r="A605"/>
      <x:c r="B605"/>
      <x:c r="C605"/>
      <x:c r="D605"/>
      <x:c r="E605"/>
      <x:c r="F605"/>
      <x:c r="G60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  <x:c r="AA605"/>
      <x:c r="AB605"/>
      <x:c r="AC605"/>
    </x:row>
    <x:row r="607">
      <x:c r="A607"/>
      <x:c r="B607"/>
      <x:c r="C607"/>
      <x:c r="D607"/>
      <x:c r="E607"/>
      <x:c r="F607"/>
      <x:c r="G607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  <x:c r="AA607"/>
      <x:c r="AB607"/>
      <x:c r="AC607"/>
    </x:row>
    <x:row r="608">
      <x:c r="A608"/>
      <x:c r="B608"/>
      <x:c r="C608"/>
      <x:c r="D608"/>
      <x:c r="E608"/>
      <x:c r="F608"/>
      <x:c r="G608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  <x:c r="AA608"/>
      <x:c r="AB608"/>
      <x:c r="AC608"/>
    </x:row>
    <x:row r="609">
      <x:c r="A609"/>
      <x:c r="B609"/>
      <x:c r="C609"/>
      <x:c r="D609"/>
      <x:c r="E609"/>
      <x:c r="F609"/>
      <x:c r="G609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  <x:c r="AA609"/>
      <x:c r="AB609"/>
      <x:c r="AC609"/>
    </x:row>
    <x:row r="610">
      <x:c r="A610"/>
      <x:c r="B610"/>
      <x:c r="C610"/>
      <x:c r="D610"/>
      <x:c r="E610"/>
      <x:c r="F610"/>
      <x:c r="G610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  <x:c r="AA610"/>
      <x:c r="AB610"/>
      <x:c r="AC610"/>
    </x:row>
    <x:row r="611">
      <x:c r="A611"/>
      <x:c r="B611"/>
      <x:c r="C611"/>
      <x:c r="D611"/>
      <x:c r="E611"/>
      <x:c r="F611"/>
      <x:c r="G611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  <x:c r="AA611"/>
      <x:c r="AB611"/>
      <x:c r="AC611"/>
    </x:row>
    <x:row r="612">
      <x:c r="A612"/>
      <x:c r="B612"/>
      <x:c r="C612"/>
      <x:c r="D612"/>
      <x:c r="E612"/>
      <x:c r="F612"/>
      <x:c r="G612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  <x:c r="AA612"/>
      <x:c r="AB612"/>
      <x:c r="AC612"/>
    </x:row>
    <x:row r="613">
      <x:c r="A613"/>
      <x:c r="B613"/>
      <x:c r="C613"/>
      <x:c r="D613"/>
      <x:c r="E613"/>
      <x:c r="F613"/>
      <x:c r="G613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  <x:c r="AA613"/>
      <x:c r="AB613"/>
      <x:c r="AC613"/>
    </x:row>
    <x:row r="614">
      <x:c r="A614"/>
      <x:c r="B614"/>
      <x:c r="C614"/>
      <x:c r="D614"/>
      <x:c r="E614"/>
      <x:c r="F614"/>
      <x:c r="G614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  <x:c r="AA614"/>
      <x:c r="AB614"/>
      <x:c r="AC614"/>
    </x:row>
    <x:row r="615">
      <x:c r="A615"/>
      <x:c r="B615"/>
      <x:c r="C615"/>
      <x:c r="D615"/>
      <x:c r="E615"/>
      <x:c r="F615"/>
      <x:c r="G61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  <x:c r="AA615"/>
      <x:c r="AB615"/>
      <x:c r="AC615"/>
    </x:row>
    <x:row r="616">
      <x:c r="A616"/>
      <x:c r="B616"/>
      <x:c r="C616"/>
      <x:c r="D616"/>
      <x:c r="E616"/>
      <x:c r="F616"/>
      <x:c r="G616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  <x:c r="AA616"/>
      <x:c r="AB616"/>
      <x:c r="AC616"/>
    </x:row>
    <x:row r="617">
      <x:c r="A617"/>
      <x:c r="B617"/>
      <x:c r="C617"/>
      <x:c r="D617"/>
      <x:c r="E617"/>
      <x:c r="F617"/>
      <x:c r="G617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  <x:c r="AA617"/>
      <x:c r="AB617"/>
      <x:c r="AC617"/>
    </x:row>
    <x:row r="618">
      <x:c r="A618"/>
      <x:c r="B618"/>
      <x:c r="C618"/>
      <x:c r="D618"/>
      <x:c r="E618"/>
      <x:c r="F618"/>
      <x:c r="G618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  <x:c r="AA618"/>
      <x:c r="AB618"/>
      <x:c r="AC618"/>
    </x:row>
    <x:row r="619">
      <x:c r="A619"/>
      <x:c r="B619"/>
      <x:c r="C619"/>
      <x:c r="D619"/>
      <x:c r="E619"/>
      <x:c r="F619"/>
      <x:c r="G619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  <x:c r="AA619"/>
      <x:c r="AB619"/>
      <x:c r="AC619"/>
    </x:row>
    <x:row r="620">
      <x:c r="A620"/>
      <x:c r="B620"/>
      <x:c r="C620"/>
      <x:c r="D620"/>
      <x:c r="E620"/>
      <x:c r="F620"/>
      <x:c r="G620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  <x:c r="AA620"/>
      <x:c r="AB620"/>
      <x:c r="AC620"/>
    </x:row>
    <x:row r="621">
      <x:c r="A621"/>
      <x:c r="B621"/>
      <x:c r="C621"/>
      <x:c r="D621"/>
      <x:c r="E621"/>
      <x:c r="F621"/>
      <x:c r="G621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  <x:c r="AA621"/>
      <x:c r="AB621"/>
      <x:c r="AC621"/>
    </x:row>
    <x:row r="622">
      <x:c r="A622"/>
      <x:c r="B622"/>
      <x:c r="C622"/>
      <x:c r="D622"/>
      <x:c r="E622"/>
      <x:c r="F622"/>
      <x:c r="G622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  <x:c r="AA622"/>
      <x:c r="AB622"/>
      <x:c r="AC622"/>
    </x:row>
    <x:row r="623">
      <x:c r="A623"/>
      <x:c r="B623"/>
      <x:c r="C623"/>
      <x:c r="D623"/>
      <x:c r="E623"/>
      <x:c r="F623"/>
      <x:c r="G623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  <x:c r="AA623"/>
      <x:c r="AB623"/>
      <x:c r="AC623"/>
    </x:row>
    <x:row r="624">
      <x:c r="A624"/>
      <x:c r="B624"/>
      <x:c r="C624"/>
      <x:c r="D624"/>
      <x:c r="E624"/>
      <x:c r="F624"/>
      <x:c r="G624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  <x:c r="AA624"/>
      <x:c r="AB624"/>
      <x:c r="AC624"/>
    </x:row>
    <x:row r="625">
      <x:c r="A625"/>
      <x:c r="B625"/>
      <x:c r="C625"/>
      <x:c r="D625"/>
      <x:c r="E625"/>
      <x:c r="F625"/>
      <x:c r="G62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  <x:c r="AA625"/>
      <x:c r="AB625"/>
      <x:c r="AC625"/>
    </x:row>
    <x:row r="626">
      <x:c r="A626"/>
      <x:c r="B626"/>
      <x:c r="C626"/>
      <x:c r="D626"/>
      <x:c r="E626"/>
      <x:c r="F626"/>
      <x:c r="G626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  <x:c r="AA626"/>
      <x:c r="AB626"/>
      <x:c r="AC6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149999618530273"/>
  <x:cols>
    <x:col min="1" max="1" width="13" style="56" customWidth="1"/>
    <x:col min="2" max="2" width="12" style="56" customWidth="1"/>
    <x:col min="3" max="3" width="42" style="56" customWidth="1"/>
    <x:col min="4" max="4" width="18" style="56" customWidth="1"/>
    <x:col min="5" max="5" width="19" style="56" customWidth="1"/>
    <x:col min="6" max="6" width="16" style="56" customWidth="1"/>
    <x:col min="7" max="16384" width="9.140625" style="56" customWidth="0"/>
  </x:cols>
  <x:sheetData>
    <x:row r="1" ht="42" customHeight="1">
      <x:c r="A1" s="50" t="s">
        <x:v>67</x:v>
      </x:c>
      <x:c r="B1" s="51" t="s">
        <x:v>68</x:v>
      </x:c>
      <x:c r="C1" s="51" t="s">
        <x:v>69</x:v>
      </x:c>
      <x:c r="D1" s="52" t="s">
        <x:v>70</x:v>
      </x:c>
      <x:c r="E1" s="51" t="s">
        <x:v>71</x:v>
      </x:c>
      <x:c r="F1" s="51" t="s">
        <x:v>72</x:v>
      </x:c>
    </x:row>
    <x:row r="2" ht="22" customHeight="1">
      <x:c r="A2" s="53"/>
      <x:c r="B2" s="54">
        <x:v>1</x:v>
      </x:c>
      <x:c r="C2" s="54" t="s">
        <x:v>625</x:v>
      </x:c>
      <x:c r="D2" s="55">
        <x:v>0.03</x:v>
      </x:c>
      <x:c r="E2" s="54" t="s">
        <x:v>27</x:v>
      </x:c>
      <x:c r="F2" s="57">
        <x:v>1</x:v>
      </x:c>
    </x:row>
    <x:row r="3" ht="22" customHeight="1">
      <x:c r="A3" s="53"/>
      <x:c r="B3" s="54">
        <x:v>2</x:v>
      </x:c>
      <x:c r="C3" s="54" t="s">
        <x:v>626</x:v>
      </x:c>
      <x:c r="D3" s="55">
        <x:v>0.08</x:v>
      </x:c>
      <x:c r="E3" s="54" t="s">
        <x:v>27</x:v>
      </x:c>
      <x:c r="F3" s="57">
        <x:v>1</x:v>
      </x:c>
    </x:row>
    <x:row r="4" ht="22" customHeight="1">
      <x:c r="A4" s="53"/>
      <x:c r="B4" s="54">
        <x:v>3</x:v>
      </x:c>
      <x:c r="C4" s="54" t="s">
        <x:v>627</x:v>
      </x:c>
      <x:c r="D4" s="55">
        <x:v>0.15</x:v>
      </x:c>
      <x:c r="E4" s="54" t="s">
        <x:v>27</x:v>
      </x:c>
      <x:c r="F4" s="57">
        <x:v>1</x:v>
      </x:c>
    </x:row>
    <x:row r="5" ht="22" customHeight="1">
      <x:c r="A5" s="53"/>
      <x:c r="B5" s="54">
        <x:v>4</x:v>
      </x:c>
      <x:c r="C5" s="54" t="s">
        <x:v>628</x:v>
      </x:c>
      <x:c r="D5" s="55">
        <x:v>0.28000000000000003</x:v>
      </x:c>
      <x:c r="E5" s="54" t="s">
        <x:v>27</x:v>
      </x:c>
      <x:c r="F5" s="57">
        <x:v>1</x:v>
      </x:c>
    </x:row>
    <x:row r="6" ht="22" customHeight="1">
      <x:c r="A6" s="57"/>
      <x:c r="B6" s="57">
        <x:v>5</x:v>
      </x:c>
      <x:c r="C6" s="57" t="s">
        <x:v>629</x:v>
      </x:c>
      <x:c r="D6" s="58">
        <x:v>0.35</x:v>
      </x:c>
      <x:c r="E6" s="57" t="s">
        <x:v>27</x:v>
      </x:c>
      <x:c r="F6" s="57">
        <x:v>1</x:v>
      </x:c>
    </x:row>
    <x:row r="7" ht="22" customHeight="1">
      <x:c r="A7" s="57"/>
      <x:c r="B7" s="57">
        <x:v>6</x:v>
      </x:c>
      <x:c r="C7" s="57" t="s">
        <x:v>630</x:v>
      </x:c>
      <x:c r="D7" s="58">
        <x:v>0.85</x:v>
      </x:c>
      <x:c r="E7" s="57" t="s">
        <x:v>27</x:v>
      </x:c>
      <x:c r="F7" s="57">
        <x:v>1</x:v>
      </x:c>
    </x:row>
    <x:row r="8" ht="22" customHeight="1">
      <x:c r="A8" s="57"/>
      <x:c r="B8" s="57">
        <x:v>7</x:v>
      </x:c>
      <x:c r="C8" s="57" t="s">
        <x:v>631</x:v>
      </x:c>
      <x:c r="D8" s="58">
        <x:v>0.32</x:v>
      </x:c>
      <x:c r="E8" s="57" t="s">
        <x:v>27</x:v>
      </x:c>
      <x:c r="F8" s="57">
        <x:v>1</x:v>
      </x:c>
    </x:row>
    <x:row r="9" ht="22" customHeight="1">
      <x:c r="A9" s="57"/>
      <x:c r="B9" s="57">
        <x:v>8</x:v>
      </x:c>
      <x:c r="C9" s="57" t="s">
        <x:v>632</x:v>
      </x:c>
      <x:c r="D9" s="58">
        <x:v>0.75</x:v>
      </x:c>
      <x:c r="E9" s="57" t="s">
        <x:v>27</x:v>
      </x:c>
      <x:c r="F9" s="57">
        <x:v>1</x:v>
      </x:c>
    </x:row>
    <x:row r="10" ht="22" customHeight="1">
      <x:c r="A10" s="57"/>
      <x:c r="B10" s="57">
        <x:v>9</x:v>
      </x:c>
      <x:c r="C10" s="57" t="s">
        <x:v>633</x:v>
      </x:c>
      <x:c r="D10" s="58">
        <x:v>0.18</x:v>
      </x:c>
      <x:c r="E10" s="57" t="s">
        <x:v>27</x:v>
      </x:c>
      <x:c r="F10" s="57">
        <x:v>1</x:v>
      </x:c>
    </x:row>
    <x:row r="11" ht="22" customHeight="1">
      <x:c r="A11" s="57"/>
      <x:c r="B11" s="57">
        <x:v>10</x:v>
      </x:c>
      <x:c r="C11" s="57" t="s">
        <x:v>634</x:v>
      </x:c>
      <x:c r="D11" s="58">
        <x:v>0.25</x:v>
      </x:c>
      <x:c r="E11" s="57" t="s">
        <x:v>27</x:v>
      </x:c>
      <x:c r="F11" s="57">
        <x:v>1</x:v>
      </x:c>
    </x:row>
    <x:row r="12" ht="22" customHeight="1">
      <x:c r="A12" s="57"/>
      <x:c r="B12" s="57">
        <x:v>11</x:v>
      </x:c>
      <x:c r="C12" s="57" t="s">
        <x:v>635</x:v>
      </x:c>
      <x:c r="D12" s="58">
        <x:v>1.2</x:v>
      </x:c>
      <x:c r="E12" s="57" t="s">
        <x:v>27</x:v>
      </x:c>
      <x:c r="F12" s="57">
        <x:v>1</x:v>
      </x:c>
    </x:row>
    <x:row r="13" ht="22" customHeight="1">
      <x:c r="A13" s="57"/>
      <x:c r="B13" s="57">
        <x:v>12</x:v>
      </x:c>
      <x:c r="C13" s="57" t="s">
        <x:v>636</x:v>
      </x:c>
      <x:c r="D13" s="58">
        <x:v>2.2000000000000002</x:v>
      </x:c>
      <x:c r="E13" s="57" t="s">
        <x:v>27</x:v>
      </x:c>
      <x:c r="F13" s="57">
        <x:v>1</x:v>
      </x:c>
    </x:row>
    <x:row r="14" ht="22" customHeight="1">
      <x:c r="A14" s="57"/>
      <x:c r="B14" s="57">
        <x:v>13</x:v>
      </x:c>
      <x:c r="C14" s="57" t="s">
        <x:v>637</x:v>
      </x:c>
      <x:c r="D14" s="58">
        <x:v>3.5</x:v>
      </x:c>
      <x:c r="E14" s="57" t="s">
        <x:v>27</x:v>
      </x:c>
      <x:c r="F14" s="57">
        <x:v>1</x:v>
      </x:c>
    </x:row>
    <x:row r="15" ht="22" customHeight="1">
      <x:c r="A15" s="57"/>
      <x:c r="B15" s="57">
        <x:v>14</x:v>
      </x:c>
      <x:c r="C15" s="57" t="str">
        <x:v>EPE珍珠棉平板/简易内衬 400×300×30mm</x:v>
      </x:c>
      <x:c r="D15" s="58" t="n">
        <x:v>2.5</x:v>
      </x:c>
      <x:c r="E15" s="57" t="s">
        <x:v>27</x:v>
      </x:c>
      <x:c r="F15" s="57">
        <x:v>1</x:v>
      </x:c>
    </x:row>
    <x:row r="16" ht="22" customHeight="1">
      <x:c r="A16" s="57"/>
      <x:c r="B16" s="57">
        <x:v>15</x:v>
      </x:c>
      <x:c r="C16" s="57" t="str">
        <x:v>EPE珍珠棉平板/简易内衬 600×400×30mm</x:v>
      </x:c>
      <x:c r="D16" s="58" t="n">
        <x:v>4.8</x:v>
      </x:c>
      <x:c r="E16" s="57" t="s">
        <x:v>27</x:v>
      </x:c>
      <x:c r="F16" s="57">
        <x:v>1</x:v>
      </x:c>
    </x:row>
    <x:row r="17" ht="22" customHeight="1">
      <x:c r="A17" s="57"/>
      <x:c r="B17" s="57">
        <x:v>16</x:v>
      </x:c>
      <x:c r="C17" s="57" t="str">
        <x:v>EVA泡棉平板/简易内衬 400×300×20mm</x:v>
      </x:c>
      <x:c r="D17" s="58" t="n">
        <x:v>5.5</x:v>
      </x:c>
      <x:c r="E17" s="57" t="s">
        <x:v>27</x:v>
      </x:c>
      <x:c r="F17" s="57">
        <x:v>1</x:v>
      </x:c>
    </x:row>
    <x:row r="18" ht="22" customHeight="1">
      <x:c r="A18" s="57"/>
      <x:c r="B18" s="57">
        <x:v>17</x:v>
      </x:c>
      <x:c r="C18" s="57" t="s">
        <x:v>638</x:v>
      </x:c>
      <x:c r="D18" s="58">
        <x:v>3.5</x:v>
      </x:c>
      <x:c r="E18" s="57" t="s">
        <x:v>27</x:v>
      </x:c>
      <x:c r="F18" s="57">
        <x:v>1</x:v>
      </x:c>
    </x:row>
    <x:row r="19" ht="22" customHeight="1">
      <x:c r="A19" s="57"/>
      <x:c r="B19" s="57">
        <x:v>18</x:v>
      </x:c>
      <x:c r="C19" s="57" t="s">
        <x:v>639</x:v>
      </x:c>
      <x:c r="D19" s="58">
        <x:v>6</x:v>
      </x:c>
      <x:c r="E19" s="57" t="s">
        <x:v>27</x:v>
      </x:c>
      <x:c r="F19" s="57">
        <x:v>1</x:v>
      </x:c>
    </x:row>
    <x:row r="20" ht="22" customHeight="1">
      <x:c r="A20" s="57"/>
      <x:c r="B20" s="57">
        <x:v>19</x:v>
      </x:c>
      <x:c r="C20" s="57" t="s">
        <x:v>640</x:v>
      </x:c>
      <x:c r="D20" s="58">
        <x:v>12</x:v>
      </x:c>
      <x:c r="E20" s="57" t="s">
        <x:v>27</x:v>
      </x:c>
      <x:c r="F20" s="57">
        <x:v>1</x:v>
      </x:c>
    </x:row>
    <x:row r="21" ht="22" customHeight="1">
      <x:c r="A21" s="57"/>
      <x:c r="B21" s="57">
        <x:v>20</x:v>
      </x:c>
      <x:c r="C21" s="57" t="s">
        <x:v>641</x:v>
      </x:c>
      <x:c r="D21" s="58">
        <x:v>22</x:v>
      </x:c>
      <x:c r="E21" s="57" t="s">
        <x:v>27</x:v>
      </x:c>
      <x:c r="F21" s="57">
        <x:v>1</x:v>
      </x:c>
    </x:row>
    <x:row r="22" ht="22" customHeight="1">
      <x:c r="A22" s="57"/>
      <x:c r="B22" s="57">
        <x:v>21</x:v>
      </x:c>
      <x:c r="C22" s="57" t="s">
        <x:v>642</x:v>
      </x:c>
      <x:c r="D22" s="58">
        <x:v>1.2</x:v>
      </x:c>
      <x:c r="E22" s="57" t="s">
        <x:v>27</x:v>
      </x:c>
      <x:c r="F22" s="57">
        <x:v>1</x:v>
      </x:c>
    </x:row>
    <x:row r="23" ht="22" customHeight="1">
      <x:c r="A23" s="57"/>
      <x:c r="B23" s="57">
        <x:v>22</x:v>
      </x:c>
      <x:c r="C23" s="57" t="s">
        <x:v>643</x:v>
      </x:c>
      <x:c r="D23" s="58">
        <x:v>6.5</x:v>
      </x:c>
      <x:c r="E23" s="57" t="s">
        <x:v>27</x:v>
      </x:c>
      <x:c r="F23" s="57">
        <x:v>1</x:v>
      </x:c>
    </x:row>
    <x:row r="24" ht="22" customHeight="1">
      <x:c r="A24" s="57"/>
      <x:c r="B24" s="57">
        <x:v>23</x:v>
      </x:c>
      <x:c r="C24" s="57" t="s">
        <x:v>644</x:v>
      </x:c>
      <x:c r="D24" s="58">
        <x:v>2.2000000000000002</x:v>
      </x:c>
      <x:c r="E24" s="57" t="s">
        <x:v>27</x:v>
      </x:c>
      <x:c r="F24" s="57">
        <x:v>1</x:v>
      </x:c>
    </x:row>
    <x:row r="25" ht="22" customHeight="1">
      <x:c r="A25" s="57"/>
      <x:c r="B25" s="57">
        <x:v>24</x:v>
      </x:c>
      <x:c r="C25" s="57" t="s">
        <x:v>645</x:v>
      </x:c>
      <x:c r="D25" s="58">
        <x:v>35</x:v>
      </x:c>
      <x:c r="E25" s="57" t="s">
        <x:v>89</x:v>
      </x:c>
      <x:c r="F25" s="57">
        <x:v>100</x:v>
      </x:c>
    </x:row>
    <x:row r="26" ht="22" customHeight="1">
      <x:c r="A26" s="57"/>
      <x:c r="B26" s="57">
        <x:v>25</x:v>
      </x:c>
      <x:c r="C26" s="57" t="s">
        <x:v>646</x:v>
      </x:c>
      <x:c r="D26" s="58">
        <x:v>75</x:v>
      </x:c>
      <x:c r="E26" s="57" t="s">
        <x:v>89</x:v>
      </x:c>
      <x:c r="F26" s="57">
        <x:v>100</x:v>
      </x:c>
    </x:row>
    <x:row r="27" ht="22" customHeight="1">
      <x:c r="A27" s="57"/>
      <x:c r="B27" s="57">
        <x:v>26</x:v>
      </x:c>
      <x:c r="C27" s="57" t="s">
        <x:v>647</x:v>
      </x:c>
      <x:c r="D27" s="58">
        <x:v>120</x:v>
      </x:c>
      <x:c r="E27" s="57" t="s">
        <x:v>89</x:v>
      </x:c>
      <x:c r="F27" s="57">
        <x:v>100</x:v>
      </x:c>
    </x:row>
    <x:row r="28" ht="22" customHeight="1">
      <x:c r="A28" s="57"/>
      <x:c r="B28" s="57">
        <x:v>27</x:v>
      </x:c>
      <x:c r="C28" s="57" t="s">
        <x:v>648</x:v>
      </x:c>
      <x:c r="D28" s="58">
        <x:v>65</x:v>
      </x:c>
      <x:c r="E28" s="57" t="s">
        <x:v>89</x:v>
      </x:c>
      <x:c r="F28" s="57">
        <x:v>10</x:v>
      </x:c>
    </x:row>
    <x:row r="29" ht="22" customHeight="1">
      <x:c r="A29" s="57"/>
      <x:c r="B29" s="57">
        <x:v>28</x:v>
      </x:c>
      <x:c r="C29" s="57" t="s">
        <x:v>649</x:v>
      </x:c>
      <x:c r="D29" s="58">
        <x:v>110</x:v>
      </x:c>
      <x:c r="E29" s="57" t="s">
        <x:v>89</x:v>
      </x:c>
      <x:c r="F29" s="57">
        <x:v>10</x:v>
      </x:c>
    </x:row>
    <x:row r="30" ht="22" customHeight="1">
      <x:c r="A30" s="57"/>
      <x:c r="B30" s="57">
        <x:v>29</x:v>
      </x:c>
      <x:c r="C30" s="57" t="s">
        <x:v>650</x:v>
      </x:c>
      <x:c r="D30" s="58">
        <x:v>350</x:v>
      </x:c>
      <x:c r="E30" s="57" t="s">
        <x:v>89</x:v>
      </x:c>
      <x:c r="F30" s="57">
        <x:v>50</x:v>
      </x:c>
    </x:row>
    <x:row r="31" ht="22" customHeight="1">
      <x:c r="A31" s="57"/>
      <x:c r="B31" s="57">
        <x:v>30</x:v>
      </x:c>
      <x:c r="C31" s="57" t="s">
        <x:v>651</x:v>
      </x:c>
      <x:c r="D31" s="58">
        <x:v>38</x:v>
      </x:c>
      <x:c r="E31" s="57" t="s">
        <x:v>27</x:v>
      </x:c>
      <x:c r="F31" s="57">
        <x:v>1</x:v>
      </x:c>
    </x:row>
    <x:row r="32" ht="22" customHeight="1">
      <x:c r="A32" s="57"/>
      <x:c r="B32" s="57">
        <x:v>31</x:v>
      </x:c>
      <x:c r="C32" s="57" t="s">
        <x:v>652</x:v>
      </x:c>
      <x:c r="D32" s="58">
        <x:v>6</x:v>
      </x:c>
      <x:c r="E32" s="57" t="s">
        <x:v>27</x:v>
      </x:c>
      <x:c r="F32" s="57">
        <x:v>1</x:v>
      </x:c>
    </x:row>
    <x:row r="33" ht="22" customHeight="1">
      <x:c r="A33" s="57"/>
      <x:c r="B33" s="57">
        <x:v>32</x:v>
      </x:c>
      <x:c r="C33" s="57" t="s">
        <x:v>653</x:v>
      </x:c>
      <x:c r="D33" s="58">
        <x:v>180</x:v>
      </x:c>
      <x:c r="E33" s="57" t="s">
        <x:v>27</x:v>
      </x:c>
      <x:c r="F33" s="57">
        <x:v>1</x:v>
      </x:c>
    </x:row>
    <x:row r="34" ht="22" customHeight="1">
      <x:c r="A34" s="57"/>
      <x:c r="B34" s="57">
        <x:v>33</x:v>
      </x:c>
      <x:c r="C34" s="57" t="s">
        <x:v>654</x:v>
      </x:c>
      <x:c r="D34" s="58">
        <x:v>0.08</x:v>
      </x:c>
      <x:c r="E34" s="57" t="s">
        <x:v>27</x:v>
      </x:c>
      <x:c r="F34" s="57">
        <x:v>1</x:v>
      </x:c>
    </x:row>
    <x:row r="35" ht="22" customHeight="1">
      <x:c r="A35" s="57"/>
      <x:c r="B35" s="57">
        <x:v>34</x:v>
      </x:c>
      <x:c r="C35" s="57" t="s">
        <x:v>655</x:v>
      </x:c>
      <x:c r="D35" s="58">
        <x:v>0.35</x:v>
      </x:c>
      <x:c r="E35" s="57" t="s">
        <x:v>27</x:v>
      </x:c>
      <x:c r="F35" s="57">
        <x:v>1</x:v>
      </x:c>
    </x:row>
    <x:row r="36" ht="22" customHeight="1">
      <x:c r="A36" s="57"/>
      <x:c r="B36" s="57">
        <x:v>35</x:v>
      </x:c>
      <x:c r="C36" s="57" t="s">
        <x:v>656</x:v>
      </x:c>
      <x:c r="D36" s="58">
        <x:v>0.6</x:v>
      </x:c>
      <x:c r="E36" s="57" t="s">
        <x:v>27</x:v>
      </x:c>
      <x:c r="F36" s="57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6" hidden="0" customWidth="1"/>
    <x:col min="5" max="5" width="10" hidden="0" customWidth="1"/>
    <x:col min="6" max="6" width="12" hidden="0" customWidth="1"/>
    <x:col min="7" max="7" width="34" hidden="0" customWidth="1"/>
    <x:col min="8" max="8" width="24" hidden="0" customWidth="1"/>
    <x:col min="9" max="9" width="11" hidden="0" customWidth="1"/>
    <x:col min="10" max="10" width="11" hidden="0" customWidth="1"/>
    <x:col min="11" max="11" width="28" hidden="0" customWidth="1"/>
  </x:cols>
  <x:sheetData>
    <x:row r="1" ht="34" customHeight="1">
      <x:c r="A1" s="67" t="str">
        <x:v>汽车零件标准工序组合模板库</x:v>
      </x:c>
      <x:c r="B1" s="67"/>
      <x:c r="C1" s="67"/>
      <x:c r="D1" s="67"/>
      <x:c r="E1" s="67"/>
      <x:c r="F1" s="67"/>
      <x:c r="G1" s="67"/>
      <x:c r="H1" s="67"/>
      <x:c r="I1" s="67"/>
      <x:c r="J1" s="67"/>
      <x:c r="K1" s="67"/>
    </x:row>
    <x:row r="2" ht="26" customHeight="1">
      <x:c r="A2" s="70" t="str">
        <x:v>用于网页端一键载入标准工艺路线；带“否”的步骤为可选步骤，载入后仍可增删和调整全部参数。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</x:row>
    <x:row r="4" ht="30" customHeight="1">
      <x:c r="A4" s="75" t="str">
        <x:v>模板编号</x:v>
      </x:c>
      <x:c r="B4" s="75" t="str">
        <x:v>零件大类</x:v>
      </x:c>
      <x:c r="C4" s="75" t="str">
        <x:v>模板名称</x:v>
      </x:c>
      <x:c r="D4" s="75" t="str">
        <x:v>适用说明</x:v>
      </x:c>
      <x:c r="E4" s="75" t="str">
        <x:v>工序顺序</x:v>
      </x:c>
      <x:c r="F4" s="75" t="str">
        <x:v>工序编号</x:v>
      </x:c>
      <x:c r="G4" s="75" t="str">
        <x:v>工序名称</x:v>
      </x:c>
      <x:c r="H4" s="75" t="str">
        <x:v>工序大类</x:v>
      </x:c>
      <x:c r="I4" s="75" t="str">
        <x:v>默认次数</x:v>
      </x:c>
      <x:c r="J4" s="75" t="str">
        <x:v>是否必选</x:v>
      </x:c>
      <x:c r="K4" s="75" t="str">
        <x:v>来源/备注</x:v>
      </x:c>
    </x:row>
    <x:row r="5">
      <x:c r="A5" s="89" t="str">
        <x:v>TPL-BUSBAR</x:v>
      </x:c>
      <x:c r="B5" s="89" t="str">
        <x:v>电池/高压零件</x:v>
      </x:c>
      <x:c r="C5" s="89" t="str">
        <x:v>电池包汇流母排</x:v>
      </x:c>
      <x:c r="D5" s="89" t="str">
        <x:v>铜排/铜铝复合排，从落料、绝缘挤塑、成形与连接到电性能检测和包装。</x:v>
      </x:c>
      <x:c r="E5" s="90" t="n">
        <x:v>1</x:v>
      </x:c>
      <x:c r="F5" s="89" t="str">
        <x:v>BB05</x:v>
      </x:c>
      <x:c r="G5" s="89" t="str">
        <x:v>铜排剪切/落料</x:v>
      </x:c>
      <x:c r="H5" s="89" t="str">
        <x:v>汇流排专用工序</x:v>
      </x:c>
      <x:c r="I5" s="91" t="n">
        <x:v>1</x:v>
      </x:c>
      <x:c r="J5" s="89" t="str">
        <x:v>是</x:v>
      </x:c>
      <x:c r="K5" s="89" t="str">
        <x:v>用户附图1+典型汇流排路线</x:v>
      </x:c>
    </x:row>
    <x:row r="6">
      <x:c r="A6" s="92" t="str">
        <x:v>TPL-BUSBAR</x:v>
      </x:c>
      <x:c r="B6" s="92" t="str">
        <x:v>电池/高压零件</x:v>
      </x:c>
      <x:c r="C6" s="92" t="str">
        <x:v>电池包汇流母排</x:v>
      </x:c>
      <x:c r="D6" s="92" t="str">
        <x:v>铜排/铜铝复合排，从落料、绝缘挤塑、成形与连接到电性能检测和包装。</x:v>
      </x:c>
      <x:c r="E6" s="93" t="n">
        <x:v>2</x:v>
      </x:c>
      <x:c r="F6" s="92" t="str">
        <x:v>BB10</x:v>
      </x:c>
      <x:c r="G6" s="92" t="str">
        <x:v>铜排绝缘挤塑</x:v>
      </x:c>
      <x:c r="H6" s="92" t="str">
        <x:v>汇流排专用工序</x:v>
      </x:c>
      <x:c r="I6" s="94" t="n">
        <x:v>1</x:v>
      </x:c>
      <x:c r="J6" s="92" t="str">
        <x:v>是</x:v>
      </x:c>
      <x:c r="K6" s="92" t="str"/>
    </x:row>
    <x:row r="7">
      <x:c r="A7" s="92" t="str">
        <x:v>TPL-BUSBAR</x:v>
      </x:c>
      <x:c r="B7" s="92" t="str">
        <x:v>电池/高压零件</x:v>
      </x:c>
      <x:c r="C7" s="92" t="str">
        <x:v>电池包汇流母排</x:v>
      </x:c>
      <x:c r="D7" s="92" t="str">
        <x:v>铜排/铜铝复合排，从落料、绝缘挤塑、成形与连接到电性能检测和包装。</x:v>
      </x:c>
      <x:c r="E7" s="93" t="n">
        <x:v>3</x:v>
      </x:c>
      <x:c r="F7" s="92" t="str">
        <x:v>BB20</x:v>
      </x:c>
      <x:c r="G7" s="92" t="str">
        <x:v>铜排拉弯/滚弯</x:v>
      </x:c>
      <x:c r="H7" s="92" t="str">
        <x:v>汇流排专用工序</x:v>
      </x:c>
      <x:c r="I7" s="94" t="n">
        <x:v>1</x:v>
      </x:c>
      <x:c r="J7" s="92" t="str">
        <x:v>是</x:v>
      </x:c>
      <x:c r="K7" s="92" t="str"/>
    </x:row>
    <x:row r="8">
      <x:c r="A8" s="92" t="str">
        <x:v>TPL-BUSBAR</x:v>
      </x:c>
      <x:c r="B8" s="92" t="str">
        <x:v>电池/高压零件</x:v>
      </x:c>
      <x:c r="C8" s="92" t="str">
        <x:v>电池包汇流母排</x:v>
      </x:c>
      <x:c r="D8" s="92" t="str">
        <x:v>铜排/铜铝复合排，从落料、绝缘挤塑、成形与连接到电性能检测和包装。</x:v>
      </x:c>
      <x:c r="E8" s="93" t="n">
        <x:v>4</x:v>
      </x:c>
      <x:c r="F8" s="92" t="str">
        <x:v>BB30</x:v>
      </x:c>
      <x:c r="G8" s="92" t="str">
        <x:v>铜排打磨</x:v>
      </x:c>
      <x:c r="H8" s="92" t="str">
        <x:v>汇流排专用工序</x:v>
      </x:c>
      <x:c r="I8" s="94" t="n">
        <x:v>1</x:v>
      </x:c>
      <x:c r="J8" s="92" t="str">
        <x:v>是</x:v>
      </x:c>
      <x:c r="K8" s="92" t="str"/>
    </x:row>
    <x:row r="9">
      <x:c r="A9" s="92" t="str">
        <x:v>TPL-BUSBAR</x:v>
      </x:c>
      <x:c r="B9" s="92" t="str">
        <x:v>电池/高压零件</x:v>
      </x:c>
      <x:c r="C9" s="92" t="str">
        <x:v>电池包汇流母排</x:v>
      </x:c>
      <x:c r="D9" s="92" t="str">
        <x:v>铜排/铜铝复合排，从落料、绝缘挤塑、成形与连接到电性能检测和包装。</x:v>
      </x:c>
      <x:c r="E9" s="93" t="n">
        <x:v>5</x:v>
      </x:c>
      <x:c r="F9" s="92" t="str">
        <x:v>BB40</x:v>
      </x:c>
      <x:c r="G9" s="92" t="str">
        <x:v>铜铝复合排冲压</x:v>
      </x:c>
      <x:c r="H9" s="92" t="str">
        <x:v>汇流排专用工序</x:v>
      </x:c>
      <x:c r="I9" s="94" t="n">
        <x:v>1</x:v>
      </x:c>
      <x:c r="J9" s="92" t="str">
        <x:v>否</x:v>
      </x:c>
      <x:c r="K9" s="92" t="str"/>
    </x:row>
    <x:row r="10">
      <x:c r="A10" s="92" t="str">
        <x:v>TPL-BUSBAR</x:v>
      </x:c>
      <x:c r="B10" s="92" t="str">
        <x:v>电池/高压零件</x:v>
      </x:c>
      <x:c r="C10" s="92" t="str">
        <x:v>电池包汇流母排</x:v>
      </x:c>
      <x:c r="D10" s="92" t="str">
        <x:v>铜排/铜铝复合排，从落料、绝缘挤塑、成形与连接到电性能检测和包装。</x:v>
      </x:c>
      <x:c r="E10" s="93" t="n">
        <x:v>6</x:v>
      </x:c>
      <x:c r="F10" s="92" t="str">
        <x:v>BB50</x:v>
      </x:c>
      <x:c r="G10" s="92" t="str">
        <x:v>铜铝复合排折弯</x:v>
      </x:c>
      <x:c r="H10" s="92" t="str">
        <x:v>汇流排专用工序</x:v>
      </x:c>
      <x:c r="I10" s="94" t="n">
        <x:v>1</x:v>
      </x:c>
      <x:c r="J10" s="92" t="str">
        <x:v>否</x:v>
      </x:c>
      <x:c r="K10" s="92" t="str"/>
    </x:row>
    <x:row r="11">
      <x:c r="A11" s="92" t="str">
        <x:v>TPL-BUSBAR</x:v>
      </x:c>
      <x:c r="B11" s="92" t="str">
        <x:v>电池/高压零件</x:v>
      </x:c>
      <x:c r="C11" s="92" t="str">
        <x:v>电池包汇流母排</x:v>
      </x:c>
      <x:c r="D11" s="92" t="str">
        <x:v>铜排/铜铝复合排，从落料、绝缘挤塑、成形与连接到电性能检测和包装。</x:v>
      </x:c>
      <x:c r="E11" s="93" t="n">
        <x:v>7</x:v>
      </x:c>
      <x:c r="F11" s="92" t="str">
        <x:v>BB30</x:v>
      </x:c>
      <x:c r="G11" s="92" t="str">
        <x:v>铜排打磨</x:v>
      </x:c>
      <x:c r="H11" s="92" t="str">
        <x:v>汇流排专用工序</x:v>
      </x:c>
      <x:c r="I11" s="94" t="n">
        <x:v>1</x:v>
      </x:c>
      <x:c r="J11" s="92" t="str">
        <x:v>是</x:v>
      </x:c>
      <x:c r="K11" s="92" t="str"/>
    </x:row>
    <x:row r="12">
      <x:c r="A12" s="92" t="str">
        <x:v>TPL-BUSBAR</x:v>
      </x:c>
      <x:c r="B12" s="92" t="str">
        <x:v>电池/高压零件</x:v>
      </x:c>
      <x:c r="C12" s="92" t="str">
        <x:v>电池包汇流母排</x:v>
      </x:c>
      <x:c r="D12" s="92" t="str">
        <x:v>铜排/铜铝复合排，从落料、绝缘挤塑、成形与连接到电性能检测和包装。</x:v>
      </x:c>
      <x:c r="E12" s="93" t="n">
        <x:v>8</x:v>
      </x:c>
      <x:c r="F12" s="92" t="str">
        <x:v>BB60</x:v>
      </x:c>
      <x:c r="G12" s="92" t="str">
        <x:v>汇流排压铆/螺母铆接</x:v>
      </x:c>
      <x:c r="H12" s="92" t="str">
        <x:v>汇流排专用工序</x:v>
      </x:c>
      <x:c r="I12" s="94" t="n">
        <x:v>1</x:v>
      </x:c>
      <x:c r="J12" s="92" t="str">
        <x:v>否</x:v>
      </x:c>
      <x:c r="K12" s="92" t="str"/>
    </x:row>
    <x:row r="13">
      <x:c r="A13" s="92" t="str">
        <x:v>TPL-BUSBAR</x:v>
      </x:c>
      <x:c r="B13" s="92" t="str">
        <x:v>电池/高压零件</x:v>
      </x:c>
      <x:c r="C13" s="92" t="str">
        <x:v>电池包汇流母排</x:v>
      </x:c>
      <x:c r="D13" s="92" t="str">
        <x:v>铜排/铜铝复合排，从落料、绝缘挤塑、成形与连接到电性能检测和包装。</x:v>
      </x:c>
      <x:c r="E13" s="93" t="n">
        <x:v>9</x:v>
      </x:c>
      <x:c r="F13" s="92" t="str">
        <x:v>BB70</x:v>
      </x:c>
      <x:c r="G13" s="92" t="str">
        <x:v>汇流排激光焊接</x:v>
      </x:c>
      <x:c r="H13" s="92" t="str">
        <x:v>汇流排专用工序</x:v>
      </x:c>
      <x:c r="I13" s="94" t="n">
        <x:v>1</x:v>
      </x:c>
      <x:c r="J13" s="92" t="str">
        <x:v>否</x:v>
      </x:c>
      <x:c r="K13" s="92" t="str"/>
    </x:row>
    <x:row r="14">
      <x:c r="A14" s="92" t="str">
        <x:v>TPL-BUSBAR</x:v>
      </x:c>
      <x:c r="B14" s="92" t="str">
        <x:v>电池/高压零件</x:v>
      </x:c>
      <x:c r="C14" s="92" t="str">
        <x:v>电池包汇流母排</x:v>
      </x:c>
      <x:c r="D14" s="92" t="str">
        <x:v>铜排/铜铝复合排，从落料、绝缘挤塑、成形与连接到电性能检测和包装。</x:v>
      </x:c>
      <x:c r="E14" s="93" t="n">
        <x:v>10</x:v>
      </x:c>
      <x:c r="F14" s="92" t="str">
        <x:v>BB80</x:v>
      </x:c>
      <x:c r="G14" s="92" t="str">
        <x:v>焊后清理/表面后处理</x:v>
      </x:c>
      <x:c r="H14" s="92" t="str">
        <x:v>汇流排专用工序</x:v>
      </x:c>
      <x:c r="I14" s="94" t="n">
        <x:v>1</x:v>
      </x:c>
      <x:c r="J14" s="92" t="str">
        <x:v>是</x:v>
      </x:c>
      <x:c r="K14" s="92" t="str"/>
    </x:row>
    <x:row r="15">
      <x:c r="A15" s="92" t="str">
        <x:v>TPL-BUSBAR</x:v>
      </x:c>
      <x:c r="B15" s="92" t="str">
        <x:v>电池/高压零件</x:v>
      </x:c>
      <x:c r="C15" s="92" t="str">
        <x:v>电池包汇流母排</x:v>
      </x:c>
      <x:c r="D15" s="92" t="str">
        <x:v>铜排/铜铝复合排，从落料、绝缘挤塑、成形与连接到电性能检测和包装。</x:v>
      </x:c>
      <x:c r="E15" s="93" t="n">
        <x:v>11</x:v>
      </x:c>
      <x:c r="F15" s="92" t="str">
        <x:v>BB90</x:v>
      </x:c>
      <x:c r="G15" s="92" t="str">
        <x:v>贴泡棉/缠胶带/组装</x:v>
      </x:c>
      <x:c r="H15" s="92" t="str">
        <x:v>汇流排专用工序</x:v>
      </x:c>
      <x:c r="I15" s="94" t="n">
        <x:v>1</x:v>
      </x:c>
      <x:c r="J15" s="92" t="str">
        <x:v>否</x:v>
      </x:c>
      <x:c r="K15" s="92" t="str"/>
    </x:row>
    <x:row r="16">
      <x:c r="A16" s="92" t="str">
        <x:v>TPL-BUSBAR</x:v>
      </x:c>
      <x:c r="B16" s="92" t="str">
        <x:v>电池/高压零件</x:v>
      </x:c>
      <x:c r="C16" s="92" t="str">
        <x:v>电池包汇流母排</x:v>
      </x:c>
      <x:c r="D16" s="92" t="str">
        <x:v>铜排/铜铝复合排，从落料、绝缘挤塑、成形与连接到电性能检测和包装。</x:v>
      </x:c>
      <x:c r="E16" s="93" t="n">
        <x:v>12</x:v>
      </x:c>
      <x:c r="F16" s="92" t="str">
        <x:v>BB100</x:v>
      </x:c>
      <x:c r="G16" s="92" t="str">
        <x:v>汇流排尺寸/外观全检</x:v>
      </x:c>
      <x:c r="H16" s="92" t="str">
        <x:v>汇流排专用工序</x:v>
      </x:c>
      <x:c r="I16" s="94" t="n">
        <x:v>1</x:v>
      </x:c>
      <x:c r="J16" s="92" t="str">
        <x:v>是</x:v>
      </x:c>
      <x:c r="K16" s="92" t="str"/>
    </x:row>
    <x:row r="17">
      <x:c r="A17" s="92" t="str">
        <x:v>TPL-BUSBAR</x:v>
      </x:c>
      <x:c r="B17" s="92" t="str">
        <x:v>电池/高压零件</x:v>
      </x:c>
      <x:c r="C17" s="92" t="str">
        <x:v>电池包汇流母排</x:v>
      </x:c>
      <x:c r="D17" s="92" t="str">
        <x:v>铜排/铜铝复合排，从落料、绝缘挤塑、成形与连接到电性能检测和包装。</x:v>
      </x:c>
      <x:c r="E17" s="93" t="n">
        <x:v>13</x:v>
      </x:c>
      <x:c r="F17" s="92" t="str">
        <x:v>BB110</x:v>
      </x:c>
      <x:c r="G17" s="92" t="str">
        <x:v>汇流排电阻/绝缘检测</x:v>
      </x:c>
      <x:c r="H17" s="92" t="str">
        <x:v>汇流排专用工序</x:v>
      </x:c>
      <x:c r="I17" s="94" t="n">
        <x:v>1</x:v>
      </x:c>
      <x:c r="J17" s="92" t="str">
        <x:v>是</x:v>
      </x:c>
      <x:c r="K17" s="92" t="str"/>
    </x:row>
    <x:row r="18">
      <x:c r="A18" s="92" t="str">
        <x:v>TPL-BUSBAR</x:v>
      </x:c>
      <x:c r="B18" s="92" t="str">
        <x:v>电池/高压零件</x:v>
      </x:c>
      <x:c r="C18" s="92" t="str">
        <x:v>电池包汇流母排</x:v>
      </x:c>
      <x:c r="D18" s="92" t="str">
        <x:v>铜排/铜铝复合排，从落料、绝缘挤塑、成形与连接到电性能检测和包装。</x:v>
      </x:c>
      <x:c r="E18" s="93" t="n">
        <x:v>14</x:v>
      </x:c>
      <x:c r="F18" s="92" t="str">
        <x:v>BB120</x:v>
      </x:c>
      <x:c r="G18" s="92" t="str">
        <x:v>激光打标/扫码追溯</x:v>
      </x:c>
      <x:c r="H18" s="92" t="str">
        <x:v>汇流排专用工序</x:v>
      </x:c>
      <x:c r="I18" s="94" t="n">
        <x:v>1</x:v>
      </x:c>
      <x:c r="J18" s="92" t="str">
        <x:v>是</x:v>
      </x:c>
      <x:c r="K18" s="92" t="str"/>
    </x:row>
    <x:row r="19">
      <x:c r="A19" s="92" t="str">
        <x:v>TPL-BUSBAR</x:v>
      </x:c>
      <x:c r="B19" s="92" t="str">
        <x:v>电池/高压零件</x:v>
      </x:c>
      <x:c r="C19" s="92" t="str">
        <x:v>电池包汇流母排</x:v>
      </x:c>
      <x:c r="D19" s="92" t="str">
        <x:v>铜排/铜铝复合排，从落料、绝缘挤塑、成形与连接到电性能检测和包装。</x:v>
      </x:c>
      <x:c r="E19" s="93" t="n">
        <x:v>15</x:v>
      </x:c>
      <x:c r="F19" s="92" t="str">
        <x:v>BB130</x:v>
      </x:c>
      <x:c r="G19" s="92" t="str">
        <x:v>汇流排包装出货</x:v>
      </x:c>
      <x:c r="H19" s="92" t="str">
        <x:v>汇流排专用工序</x:v>
      </x:c>
      <x:c r="I19" s="94" t="n">
        <x:v>1</x:v>
      </x:c>
      <x:c r="J19" s="92" t="str">
        <x:v>是</x:v>
      </x:c>
      <x:c r="K19" s="92" t="str"/>
    </x:row>
    <x:row r="20">
      <x:c r="A20" s="92" t="str">
        <x:v>TPL-HARNESS</x:v>
      </x:c>
      <x:c r="B20" s="92" t="str">
        <x:v>电气零件</x:v>
      </x:c>
      <x:c r="C20" s="92" t="str">
        <x:v>线束总成</x:v>
      </x:c>
      <x:c r="D20" s="92" t="str">
        <x:v>从标签、裁线压接、热缩与插壳，到上架布线、测试、扫码和打包。</x:v>
      </x:c>
      <x:c r="E20" s="93" t="n">
        <x:v>1</x:v>
      </x:c>
      <x:c r="F20" s="92" t="str">
        <x:v>WH10</x:v>
      </x:c>
      <x:c r="G20" s="92" t="str">
        <x:v>打印标签</x:v>
      </x:c>
      <x:c r="H20" s="92" t="str">
        <x:v>线束总成精细工序</x:v>
      </x:c>
      <x:c r="I20" s="94" t="n">
        <x:v>1</x:v>
      </x:c>
      <x:c r="J20" s="92" t="str">
        <x:v>是</x:v>
      </x:c>
      <x:c r="K20" s="92" t="str">
        <x:v>用户附图2</x:v>
      </x:c>
    </x:row>
    <x:row r="21">
      <x:c r="A21" s="92" t="str">
        <x:v>TPL-HARNESS</x:v>
      </x:c>
      <x:c r="B21" s="92" t="str">
        <x:v>电气零件</x:v>
      </x:c>
      <x:c r="C21" s="92" t="str">
        <x:v>线束总成</x:v>
      </x:c>
      <x:c r="D21" s="92" t="str">
        <x:v>从标签、裁线压接、热缩与插壳，到上架布线、测试、扫码和打包。</x:v>
      </x:c>
      <x:c r="E21" s="93" t="n">
        <x:v>2</x:v>
      </x:c>
      <x:c r="F21" s="92" t="str">
        <x:v>WH20</x:v>
      </x:c>
      <x:c r="G21" s="92" t="str">
        <x:v>切热缩管</x:v>
      </x:c>
      <x:c r="H21" s="92" t="str">
        <x:v>线束总成精细工序</x:v>
      </x:c>
      <x:c r="I21" s="94" t="n">
        <x:v>1</x:v>
      </x:c>
      <x:c r="J21" s="92" t="str">
        <x:v>是</x:v>
      </x:c>
      <x:c r="K21" s="92" t="str"/>
    </x:row>
    <x:row r="22">
      <x:c r="A22" s="92" t="str">
        <x:v>TPL-HARNESS</x:v>
      </x:c>
      <x:c r="B22" s="92" t="str">
        <x:v>电气零件</x:v>
      </x:c>
      <x:c r="C22" s="92" t="str">
        <x:v>线束总成</x:v>
      </x:c>
      <x:c r="D22" s="92" t="str">
        <x:v>从标签、裁线压接、热缩与插壳，到上架布线、测试、扫码和打包。</x:v>
      </x:c>
      <x:c r="E22" s="93" t="n">
        <x:v>3</x:v>
      </x:c>
      <x:c r="F22" s="92" t="str">
        <x:v>WH30</x:v>
      </x:c>
      <x:c r="G22" s="92" t="str">
        <x:v>全自动双端压着</x:v>
      </x:c>
      <x:c r="H22" s="92" t="str">
        <x:v>线束总成精细工序</x:v>
      </x:c>
      <x:c r="I22" s="94" t="n">
        <x:v>1</x:v>
      </x:c>
      <x:c r="J22" s="92" t="str">
        <x:v>是</x:v>
      </x:c>
      <x:c r="K22" s="92" t="str"/>
    </x:row>
    <x:row r="23">
      <x:c r="A23" s="92" t="str">
        <x:v>TPL-HARNESS</x:v>
      </x:c>
      <x:c r="B23" s="92" t="str">
        <x:v>电气零件</x:v>
      </x:c>
      <x:c r="C23" s="92" t="str">
        <x:v>线束总成</x:v>
      </x:c>
      <x:c r="D23" s="92" t="str">
        <x:v>从标签、裁线压接、热缩与插壳，到上架布线、测试、扫码和打包。</x:v>
      </x:c>
      <x:c r="E23" s="93" t="n">
        <x:v>4</x:v>
      </x:c>
      <x:c r="F23" s="92" t="str">
        <x:v>WH40</x:v>
      </x:c>
      <x:c r="G23" s="92" t="str">
        <x:v>全自动单端压着</x:v>
      </x:c>
      <x:c r="H23" s="92" t="str">
        <x:v>线束总成精细工序</x:v>
      </x:c>
      <x:c r="I23" s="94" t="n">
        <x:v>1</x:v>
      </x:c>
      <x:c r="J23" s="92" t="str">
        <x:v>是</x:v>
      </x:c>
      <x:c r="K23" s="92" t="str"/>
    </x:row>
    <x:row r="24">
      <x:c r="A24" s="92" t="str">
        <x:v>TPL-HARNESS</x:v>
      </x:c>
      <x:c r="B24" s="92" t="str">
        <x:v>电气零件</x:v>
      </x:c>
      <x:c r="C24" s="92" t="str">
        <x:v>线束总成</x:v>
      </x:c>
      <x:c r="D24" s="92" t="str">
        <x:v>从标签、裁线压接、热缩与插壳，到上架布线、测试、扫码和打包。</x:v>
      </x:c>
      <x:c r="E24" s="93" t="n">
        <x:v>5</x:v>
      </x:c>
      <x:c r="F24" s="92" t="str">
        <x:v>WH50</x:v>
      </x:c>
      <x:c r="G24" s="92" t="str">
        <x:v>端检Ⅰ（外观/拉力）</x:v>
      </x:c>
      <x:c r="H24" s="92" t="str">
        <x:v>线束总成精细工序</x:v>
      </x:c>
      <x:c r="I24" s="94" t="n">
        <x:v>1</x:v>
      </x:c>
      <x:c r="J24" s="92" t="str">
        <x:v>是</x:v>
      </x:c>
      <x:c r="K24" s="92" t="str"/>
    </x:row>
    <x:row r="25">
      <x:c r="A25" s="92" t="str">
        <x:v>TPL-HARNESS</x:v>
      </x:c>
      <x:c r="B25" s="92" t="str">
        <x:v>电气零件</x:v>
      </x:c>
      <x:c r="C25" s="92" t="str">
        <x:v>线束总成</x:v>
      </x:c>
      <x:c r="D25" s="92" t="str">
        <x:v>从标签、裁线压接、热缩与插壳，到上架布线、测试、扫码和打包。</x:v>
      </x:c>
      <x:c r="E25" s="93" t="n">
        <x:v>6</x:v>
      </x:c>
      <x:c r="F25" s="92" t="str">
        <x:v>WH60</x:v>
      </x:c>
      <x:c r="G25" s="92" t="str">
        <x:v>开线/裁线剥皮</x:v>
      </x:c>
      <x:c r="H25" s="92" t="str">
        <x:v>线束总成精细工序</x:v>
      </x:c>
      <x:c r="I25" s="94" t="n">
        <x:v>1</x:v>
      </x:c>
      <x:c r="J25" s="92" t="str">
        <x:v>是</x:v>
      </x:c>
      <x:c r="K25" s="92" t="str"/>
    </x:row>
    <x:row r="26">
      <x:c r="A26" s="92" t="str">
        <x:v>TPL-HARNESS</x:v>
      </x:c>
      <x:c r="B26" s="92" t="str">
        <x:v>电气零件</x:v>
      </x:c>
      <x:c r="C26" s="92" t="str">
        <x:v>线束总成</x:v>
      </x:c>
      <x:c r="D26" s="92" t="str">
        <x:v>从标签、裁线压接、热缩与插壳，到上架布线、测试、扫码和打包。</x:v>
      </x:c>
      <x:c r="E26" s="93" t="n">
        <x:v>7</x:v>
      </x:c>
      <x:c r="F26" s="92" t="str">
        <x:v>WH70</x:v>
      </x:c>
      <x:c r="G26" s="92" t="str">
        <x:v>穿热缩管</x:v>
      </x:c>
      <x:c r="H26" s="92" t="str">
        <x:v>线束总成精细工序</x:v>
      </x:c>
      <x:c r="I26" s="94" t="n">
        <x:v>1</x:v>
      </x:c>
      <x:c r="J26" s="92" t="str">
        <x:v>是</x:v>
      </x:c>
      <x:c r="K26" s="92" t="str"/>
    </x:row>
    <x:row r="27">
      <x:c r="A27" s="92" t="str">
        <x:v>TPL-HARNESS</x:v>
      </x:c>
      <x:c r="B27" s="92" t="str">
        <x:v>电气零件</x:v>
      </x:c>
      <x:c r="C27" s="92" t="str">
        <x:v>线束总成</x:v>
      </x:c>
      <x:c r="D27" s="92" t="str">
        <x:v>从标签、裁线压接、热缩与插壳，到上架布线、测试、扫码和打包。</x:v>
      </x:c>
      <x:c r="E27" s="93" t="n">
        <x:v>8</x:v>
      </x:c>
      <x:c r="F27" s="92" t="str">
        <x:v>WH80</x:v>
      </x:c>
      <x:c r="G27" s="92" t="str">
        <x:v>压线夹（三线）</x:v>
      </x:c>
      <x:c r="H27" s="92" t="str">
        <x:v>线束总成精细工序</x:v>
      </x:c>
      <x:c r="I27" s="94" t="n">
        <x:v>1</x:v>
      </x:c>
      <x:c r="J27" s="92" t="str">
        <x:v>是</x:v>
      </x:c>
      <x:c r="K27" s="92" t="str"/>
    </x:row>
    <x:row r="28">
      <x:c r="A28" s="92" t="str">
        <x:v>TPL-HARNESS</x:v>
      </x:c>
      <x:c r="B28" s="92" t="str">
        <x:v>电气零件</x:v>
      </x:c>
      <x:c r="C28" s="92" t="str">
        <x:v>线束总成</x:v>
      </x:c>
      <x:c r="D28" s="92" t="str">
        <x:v>从标签、裁线压接、热缩与插壳，到上架布线、测试、扫码和打包。</x:v>
      </x:c>
      <x:c r="E28" s="93" t="n">
        <x:v>9</x:v>
      </x:c>
      <x:c r="F28" s="92" t="str">
        <x:v>WH90</x:v>
      </x:c>
      <x:c r="G28" s="92" t="str">
        <x:v>端检Ⅱ（压接确认）</x:v>
      </x:c>
      <x:c r="H28" s="92" t="str">
        <x:v>线束总成精细工序</x:v>
      </x:c>
      <x:c r="I28" s="94" t="n">
        <x:v>1</x:v>
      </x:c>
      <x:c r="J28" s="92" t="str">
        <x:v>是</x:v>
      </x:c>
      <x:c r="K28" s="92" t="str"/>
    </x:row>
    <x:row r="29">
      <x:c r="A29" s="92" t="str">
        <x:v>TPL-HARNESS</x:v>
      </x:c>
      <x:c r="B29" s="92" t="str">
        <x:v>电气零件</x:v>
      </x:c>
      <x:c r="C29" s="92" t="str">
        <x:v>线束总成</x:v>
      </x:c>
      <x:c r="D29" s="92" t="str">
        <x:v>从标签、裁线压接、热缩与插壳，到上架布线、测试、扫码和打包。</x:v>
      </x:c>
      <x:c r="E29" s="93" t="n">
        <x:v>10</x:v>
      </x:c>
      <x:c r="F29" s="92" t="str">
        <x:v>WH100</x:v>
      </x:c>
      <x:c r="G29" s="92" t="str">
        <x:v>吹热缩管</x:v>
      </x:c>
      <x:c r="H29" s="92" t="str">
        <x:v>线束总成精细工序</x:v>
      </x:c>
      <x:c r="I29" s="94" t="n">
        <x:v>1</x:v>
      </x:c>
      <x:c r="J29" s="92" t="str">
        <x:v>是</x:v>
      </x:c>
      <x:c r="K29" s="92" t="str"/>
    </x:row>
    <x:row r="30">
      <x:c r="A30" s="92" t="str">
        <x:v>TPL-HARNESS</x:v>
      </x:c>
      <x:c r="B30" s="92" t="str">
        <x:v>电气零件</x:v>
      </x:c>
      <x:c r="C30" s="92" t="str">
        <x:v>线束总成</x:v>
      </x:c>
      <x:c r="D30" s="92" t="str">
        <x:v>从标签、裁线压接、热缩与插壳，到上架布线、测试、扫码和打包。</x:v>
      </x:c>
      <x:c r="E30" s="93" t="n">
        <x:v>11</x:v>
      </x:c>
      <x:c r="F30" s="92" t="str">
        <x:v>WH110</x:v>
      </x:c>
      <x:c r="G30" s="92" t="str">
        <x:v>插塑壳/卡扣</x:v>
      </x:c>
      <x:c r="H30" s="92" t="str">
        <x:v>线束总成精细工序</x:v>
      </x:c>
      <x:c r="I30" s="94" t="n">
        <x:v>1</x:v>
      </x:c>
      <x:c r="J30" s="92" t="str">
        <x:v>是</x:v>
      </x:c>
      <x:c r="K30" s="92" t="str"/>
    </x:row>
    <x:row r="31">
      <x:c r="A31" s="92" t="str">
        <x:v>TPL-HARNESS</x:v>
      </x:c>
      <x:c r="B31" s="92" t="str">
        <x:v>电气零件</x:v>
      </x:c>
      <x:c r="C31" s="92" t="str">
        <x:v>线束总成</x:v>
      </x:c>
      <x:c r="D31" s="92" t="str">
        <x:v>从标签、裁线压接、热缩与插壳，到上架布线、测试、扫码和打包。</x:v>
      </x:c>
      <x:c r="E31" s="93" t="n">
        <x:v>12</x:v>
      </x:c>
      <x:c r="F31" s="92" t="str">
        <x:v>WH120</x:v>
      </x:c>
      <x:c r="G31" s="92" t="str">
        <x:v>组装上架/布线</x:v>
      </x:c>
      <x:c r="H31" s="92" t="str">
        <x:v>线束总成精细工序</x:v>
      </x:c>
      <x:c r="I31" s="94" t="n">
        <x:v>1</x:v>
      </x:c>
      <x:c r="J31" s="92" t="str">
        <x:v>是</x:v>
      </x:c>
      <x:c r="K31" s="92" t="str"/>
    </x:row>
    <x:row r="32">
      <x:c r="A32" s="92" t="str">
        <x:v>TPL-HARNESS</x:v>
      </x:c>
      <x:c r="B32" s="92" t="str">
        <x:v>电气零件</x:v>
      </x:c>
      <x:c r="C32" s="92" t="str">
        <x:v>线束总成</x:v>
      </x:c>
      <x:c r="D32" s="92" t="str">
        <x:v>从标签、裁线压接、热缩与插壳，到上架布线、测试、扫码和打包。</x:v>
      </x:c>
      <x:c r="E32" s="93" t="n">
        <x:v>13</x:v>
      </x:c>
      <x:c r="F32" s="92" t="str">
        <x:v>WH130</x:v>
      </x:c>
      <x:c r="G32" s="92" t="str">
        <x:v>缠胶/贴标签/取线</x:v>
      </x:c>
      <x:c r="H32" s="92" t="str">
        <x:v>线束总成精细工序</x:v>
      </x:c>
      <x:c r="I32" s="94" t="n">
        <x:v>1</x:v>
      </x:c>
      <x:c r="J32" s="92" t="str">
        <x:v>是</x:v>
      </x:c>
      <x:c r="K32" s="92" t="str"/>
    </x:row>
    <x:row r="33">
      <x:c r="A33" s="92" t="str">
        <x:v>TPL-HARNESS</x:v>
      </x:c>
      <x:c r="B33" s="92" t="str">
        <x:v>电气零件</x:v>
      </x:c>
      <x:c r="C33" s="92" t="str">
        <x:v>线束总成</x:v>
      </x:c>
      <x:c r="D33" s="92" t="str">
        <x:v>从标签、裁线压接、热缩与插壳，到上架布线、测试、扫码和打包。</x:v>
      </x:c>
      <x:c r="E33" s="93" t="n">
        <x:v>14</x:v>
      </x:c>
      <x:c r="F33" s="92" t="str">
        <x:v>WH140</x:v>
      </x:c>
      <x:c r="G33" s="92" t="str">
        <x:v>扎剪扎带</x:v>
      </x:c>
      <x:c r="H33" s="92" t="str">
        <x:v>线束总成精细工序</x:v>
      </x:c>
      <x:c r="I33" s="94" t="n">
        <x:v>1</x:v>
      </x:c>
      <x:c r="J33" s="92" t="str">
        <x:v>是</x:v>
      </x:c>
      <x:c r="K33" s="92" t="str"/>
    </x:row>
    <x:row r="34">
      <x:c r="A34" s="92" t="str">
        <x:v>TPL-HARNESS</x:v>
      </x:c>
      <x:c r="B34" s="92" t="str">
        <x:v>电气零件</x:v>
      </x:c>
      <x:c r="C34" s="92" t="str">
        <x:v>线束总成</x:v>
      </x:c>
      <x:c r="D34" s="92" t="str">
        <x:v>从标签、裁线压接、热缩与插壳，到上架布线、测试、扫码和打包。</x:v>
      </x:c>
      <x:c r="E34" s="93" t="n">
        <x:v>15</x:v>
      </x:c>
      <x:c r="F34" s="92" t="str">
        <x:v>WH150</x:v>
      </x:c>
      <x:c r="G34" s="92" t="str">
        <x:v>导通测试+贴主标签</x:v>
      </x:c>
      <x:c r="H34" s="92" t="str">
        <x:v>线束总成精细工序</x:v>
      </x:c>
      <x:c r="I34" s="94" t="n">
        <x:v>1</x:v>
      </x:c>
      <x:c r="J34" s="92" t="str">
        <x:v>是</x:v>
      </x:c>
      <x:c r="K34" s="92" t="str"/>
    </x:row>
    <x:row r="35">
      <x:c r="A35" s="92" t="str">
        <x:v>TPL-HARNESS</x:v>
      </x:c>
      <x:c r="B35" s="92" t="str">
        <x:v>电气零件</x:v>
      </x:c>
      <x:c r="C35" s="92" t="str">
        <x:v>线束总成</x:v>
      </x:c>
      <x:c r="D35" s="92" t="str">
        <x:v>从标签、裁线压接、热缩与插壳，到上架布线、测试、扫码和打包。</x:v>
      </x:c>
      <x:c r="E35" s="93" t="n">
        <x:v>16</x:v>
      </x:c>
      <x:c r="F35" s="92" t="str">
        <x:v>WH160</x:v>
      </x:c>
      <x:c r="G35" s="92" t="str">
        <x:v>成品检验</x:v>
      </x:c>
      <x:c r="H35" s="92" t="str">
        <x:v>线束总成精细工序</x:v>
      </x:c>
      <x:c r="I35" s="94" t="n">
        <x:v>1</x:v>
      </x:c>
      <x:c r="J35" s="92" t="str">
        <x:v>是</x:v>
      </x:c>
      <x:c r="K35" s="92" t="str"/>
    </x:row>
    <x:row r="36">
      <x:c r="A36" s="92" t="str">
        <x:v>TPL-HARNESS</x:v>
      </x:c>
      <x:c r="B36" s="92" t="str">
        <x:v>电气零件</x:v>
      </x:c>
      <x:c r="C36" s="92" t="str">
        <x:v>线束总成</x:v>
      </x:c>
      <x:c r="D36" s="92" t="str">
        <x:v>从标签、裁线压接、热缩与插壳，到上架布线、测试、扫码和打包。</x:v>
      </x:c>
      <x:c r="E36" s="93" t="n">
        <x:v>17</x:v>
      </x:c>
      <x:c r="F36" s="92" t="str">
        <x:v>WH170</x:v>
      </x:c>
      <x:c r="G36" s="92" t="str">
        <x:v>成品扫码</x:v>
      </x:c>
      <x:c r="H36" s="92" t="str">
        <x:v>线束总成精细工序</x:v>
      </x:c>
      <x:c r="I36" s="94" t="n">
        <x:v>1</x:v>
      </x:c>
      <x:c r="J36" s="92" t="str">
        <x:v>是</x:v>
      </x:c>
      <x:c r="K36" s="92" t="str"/>
    </x:row>
    <x:row r="37">
      <x:c r="A37" s="92" t="str">
        <x:v>TPL-HARNESS</x:v>
      </x:c>
      <x:c r="B37" s="92" t="str">
        <x:v>电气零件</x:v>
      </x:c>
      <x:c r="C37" s="92" t="str">
        <x:v>线束总成</x:v>
      </x:c>
      <x:c r="D37" s="92" t="str">
        <x:v>从标签、裁线压接、热缩与插壳，到上架布线、测试、扫码和打包。</x:v>
      </x:c>
      <x:c r="E37" s="93" t="n">
        <x:v>18</x:v>
      </x:c>
      <x:c r="F37" s="92" t="str">
        <x:v>WH180</x:v>
      </x:c>
      <x:c r="G37" s="92" t="str">
        <x:v>线束装袋/打包</x:v>
      </x:c>
      <x:c r="H37" s="92" t="str">
        <x:v>线束总成精细工序</x:v>
      </x:c>
      <x:c r="I37" s="94" t="n">
        <x:v>1</x:v>
      </x:c>
      <x:c r="J37" s="92" t="str">
        <x:v>是</x:v>
      </x:c>
      <x:c r="K37" s="92" t="str"/>
    </x:row>
    <x:row r="38">
      <x:c r="A38" s="92" t="str">
        <x:v>TPL-FPC</x:v>
      </x:c>
      <x:c r="B38" s="92" t="str">
        <x:v>电气零件</x:v>
      </x:c>
      <x:c r="C38" s="92" t="str">
        <x:v>FPC采集总成</x:v>
      </x:c>
      <x:c r="D38" s="92" t="str">
        <x:v>RTR前制程、蚀刻、保护膜、补强、SMT、端子、点胶、电测与终检的完整复杂路线。</x:v>
      </x:c>
      <x:c r="E38" s="93" t="n">
        <x:v>1</x:v>
      </x:c>
      <x:c r="F38" s="92" t="str">
        <x:v>FP01</x:v>
      </x:c>
      <x:c r="G38" s="92" t="str">
        <x:v>RTR贴膜</x:v>
      </x:c>
      <x:c r="H38" s="92" t="str">
        <x:v>FPC柔性线路板工序</x:v>
      </x:c>
      <x:c r="I38" s="94" t="n">
        <x:v>1</x:v>
      </x:c>
      <x:c r="J38" s="92" t="str">
        <x:v>是</x:v>
      </x:c>
      <x:c r="K38" s="92" t="str">
        <x:v>用户附图3</x:v>
      </x:c>
    </x:row>
    <x:row r="39">
      <x:c r="A39" s="92" t="str">
        <x:v>TPL-FPC</x:v>
      </x:c>
      <x:c r="B39" s="92" t="str">
        <x:v>电气零件</x:v>
      </x:c>
      <x:c r="C39" s="92" t="str">
        <x:v>FPC采集总成</x:v>
      </x:c>
      <x:c r="D39" s="92" t="str">
        <x:v>RTR前制程、蚀刻、保护膜、补强、SMT、端子、点胶、电测与终检的完整复杂路线。</x:v>
      </x:c>
      <x:c r="E39" s="93" t="n">
        <x:v>2</x:v>
      </x:c>
      <x:c r="F39" s="92" t="str">
        <x:v>FP02</x:v>
      </x:c>
      <x:c r="G39" s="92" t="str">
        <x:v>RTR曝光</x:v>
      </x:c>
      <x:c r="H39" s="92" t="str">
        <x:v>FPC柔性线路板工序</x:v>
      </x:c>
      <x:c r="I39" s="94" t="n">
        <x:v>1</x:v>
      </x:c>
      <x:c r="J39" s="92" t="str">
        <x:v>是</x:v>
      </x:c>
      <x:c r="K39" s="92" t="str"/>
    </x:row>
    <x:row r="40">
      <x:c r="A40" s="92" t="str">
        <x:v>TPL-FPC</x:v>
      </x:c>
      <x:c r="B40" s="92" t="str">
        <x:v>电气零件</x:v>
      </x:c>
      <x:c r="C40" s="92" t="str">
        <x:v>FPC采集总成</x:v>
      </x:c>
      <x:c r="D40" s="92" t="str">
        <x:v>RTR前制程、蚀刻、保护膜、补强、SMT、端子、点胶、电测与终检的完整复杂路线。</x:v>
      </x:c>
      <x:c r="E40" s="93" t="n">
        <x:v>3</x:v>
      </x:c>
      <x:c r="F40" s="92" t="str">
        <x:v>FP03</x:v>
      </x:c>
      <x:c r="G40" s="92" t="str">
        <x:v>显影</x:v>
      </x:c>
      <x:c r="H40" s="92" t="str">
        <x:v>FPC柔性线路板工序</x:v>
      </x:c>
      <x:c r="I40" s="94" t="n">
        <x:v>1</x:v>
      </x:c>
      <x:c r="J40" s="92" t="str">
        <x:v>是</x:v>
      </x:c>
      <x:c r="K40" s="92" t="str"/>
    </x:row>
    <x:row r="41">
      <x:c r="A41" s="92" t="str">
        <x:v>TPL-FPC</x:v>
      </x:c>
      <x:c r="B41" s="92" t="str">
        <x:v>电气零件</x:v>
      </x:c>
      <x:c r="C41" s="92" t="str">
        <x:v>FPC采集总成</x:v>
      </x:c>
      <x:c r="D41" s="92" t="str">
        <x:v>RTR前制程、蚀刻、保护膜、补强、SMT、端子、点胶、电测与终检的完整复杂路线。</x:v>
      </x:c>
      <x:c r="E41" s="93" t="n">
        <x:v>4</x:v>
      </x:c>
      <x:c r="F41" s="92" t="str">
        <x:v>FP04</x:v>
      </x:c>
      <x:c r="G41" s="92" t="str">
        <x:v>去干膜（未反应）</x:v>
      </x:c>
      <x:c r="H41" s="92" t="str">
        <x:v>FPC柔性线路板工序</x:v>
      </x:c>
      <x:c r="I41" s="94" t="n">
        <x:v>1</x:v>
      </x:c>
      <x:c r="J41" s="92" t="str">
        <x:v>是</x:v>
      </x:c>
      <x:c r="K41" s="92" t="str"/>
    </x:row>
    <x:row r="42">
      <x:c r="A42" s="92" t="str">
        <x:v>TPL-FPC</x:v>
      </x:c>
      <x:c r="B42" s="92" t="str">
        <x:v>电气零件</x:v>
      </x:c>
      <x:c r="C42" s="92" t="str">
        <x:v>FPC采集总成</x:v>
      </x:c>
      <x:c r="D42" s="92" t="str">
        <x:v>RTR前制程、蚀刻、保护膜、补强、SMT、端子、点胶、电测与终检的完整复杂路线。</x:v>
      </x:c>
      <x:c r="E42" s="93" t="n">
        <x:v>5</x:v>
      </x:c>
      <x:c r="F42" s="92" t="str">
        <x:v>FP05</x:v>
      </x:c>
      <x:c r="G42" s="92" t="str">
        <x:v>线路蚀刻</x:v>
      </x:c>
      <x:c r="H42" s="92" t="str">
        <x:v>FPC柔性线路板工序</x:v>
      </x:c>
      <x:c r="I42" s="94" t="n">
        <x:v>1</x:v>
      </x:c>
      <x:c r="J42" s="92" t="str">
        <x:v>是</x:v>
      </x:c>
      <x:c r="K42" s="92" t="str"/>
    </x:row>
    <x:row r="43">
      <x:c r="A43" s="92" t="str">
        <x:v>TPL-FPC</x:v>
      </x:c>
      <x:c r="B43" s="92" t="str">
        <x:v>电气零件</x:v>
      </x:c>
      <x:c r="C43" s="92" t="str">
        <x:v>FPC采集总成</x:v>
      </x:c>
      <x:c r="D43" s="92" t="str">
        <x:v>RTR前制程、蚀刻、保护膜、补强、SMT、端子、点胶、电测与终检的完整复杂路线。</x:v>
      </x:c>
      <x:c r="E43" s="93" t="n">
        <x:v>6</x:v>
      </x:c>
      <x:c r="F43" s="92" t="str">
        <x:v>FP06</x:v>
      </x:c>
      <x:c r="G43" s="92" t="str">
        <x:v>冲洗1</x:v>
      </x:c>
      <x:c r="H43" s="92" t="str">
        <x:v>FPC柔性线路板工序</x:v>
      </x:c>
      <x:c r="I43" s="94" t="n">
        <x:v>1</x:v>
      </x:c>
      <x:c r="J43" s="92" t="str">
        <x:v>是</x:v>
      </x:c>
      <x:c r="K43" s="92" t="str"/>
    </x:row>
    <x:row r="44">
      <x:c r="A44" s="92" t="str">
        <x:v>TPL-FPC</x:v>
      </x:c>
      <x:c r="B44" s="92" t="str">
        <x:v>电气零件</x:v>
      </x:c>
      <x:c r="C44" s="92" t="str">
        <x:v>FPC采集总成</x:v>
      </x:c>
      <x:c r="D44" s="92" t="str">
        <x:v>RTR前制程、蚀刻、保护膜、补强、SMT、端子、点胶、电测与终检的完整复杂路线。</x:v>
      </x:c>
      <x:c r="E44" s="93" t="n">
        <x:v>7</x:v>
      </x:c>
      <x:c r="F44" s="92" t="str">
        <x:v>FP07</x:v>
      </x:c>
      <x:c r="G44" s="92" t="str">
        <x:v>冲洗2（去保护线路蚀刻膜）</x:v>
      </x:c>
      <x:c r="H44" s="92" t="str">
        <x:v>FPC柔性线路板工序</x:v>
      </x:c>
      <x:c r="I44" s="94" t="n">
        <x:v>1</x:v>
      </x:c>
      <x:c r="J44" s="92" t="str">
        <x:v>是</x:v>
      </x:c>
      <x:c r="K44" s="92" t="str"/>
    </x:row>
    <x:row r="45">
      <x:c r="A45" s="92" t="str">
        <x:v>TPL-FPC</x:v>
      </x:c>
      <x:c r="B45" s="92" t="str">
        <x:v>电气零件</x:v>
      </x:c>
      <x:c r="C45" s="92" t="str">
        <x:v>FPC采集总成</x:v>
      </x:c>
      <x:c r="D45" s="92" t="str">
        <x:v>RTR前制程、蚀刻、保护膜、补强、SMT、端子、点胶、电测与终检的完整复杂路线。</x:v>
      </x:c>
      <x:c r="E45" s="93" t="n">
        <x:v>8</x:v>
      </x:c>
      <x:c r="F45" s="92" t="str">
        <x:v>FP08</x:v>
      </x:c>
      <x:c r="G45" s="92" t="str">
        <x:v>冲洗3</x:v>
      </x:c>
      <x:c r="H45" s="92" t="str">
        <x:v>FPC柔性线路板工序</x:v>
      </x:c>
      <x:c r="I45" s="94" t="n">
        <x:v>1</x:v>
      </x:c>
      <x:c r="J45" s="92" t="str">
        <x:v>是</x:v>
      </x:c>
      <x:c r="K45" s="92" t="str"/>
    </x:row>
    <x:row r="46">
      <x:c r="A46" s="92" t="str">
        <x:v>TPL-FPC</x:v>
      </x:c>
      <x:c r="B46" s="92" t="str">
        <x:v>电气零件</x:v>
      </x:c>
      <x:c r="C46" s="92" t="str">
        <x:v>FPC采集总成</x:v>
      </x:c>
      <x:c r="D46" s="92" t="str">
        <x:v>RTR前制程、蚀刻、保护膜、补强、SMT、端子、点胶、电测与终检的完整复杂路线。</x:v>
      </x:c>
      <x:c r="E46" s="93" t="n">
        <x:v>9</x:v>
      </x:c>
      <x:c r="F46" s="92" t="str">
        <x:v>FP09</x:v>
      </x:c>
      <x:c r="G46" s="92" t="str">
        <x:v>烘干</x:v>
      </x:c>
      <x:c r="H46" s="92" t="str">
        <x:v>FPC柔性线路板工序</x:v>
      </x:c>
      <x:c r="I46" s="94" t="n">
        <x:v>1</x:v>
      </x:c>
      <x:c r="J46" s="92" t="str">
        <x:v>是</x:v>
      </x:c>
      <x:c r="K46" s="92" t="str"/>
    </x:row>
    <x:row r="47">
      <x:c r="A47" s="92" t="str">
        <x:v>TPL-FPC</x:v>
      </x:c>
      <x:c r="B47" s="92" t="str">
        <x:v>电气零件</x:v>
      </x:c>
      <x:c r="C47" s="92" t="str">
        <x:v>FPC采集总成</x:v>
      </x:c>
      <x:c r="D47" s="92" t="str">
        <x:v>RTR前制程、蚀刻、保护膜、补强、SMT、端子、点胶、电测与终检的完整复杂路线。</x:v>
      </x:c>
      <x:c r="E47" s="93" t="n">
        <x:v>10</x:v>
      </x:c>
      <x:c r="F47" s="92" t="str">
        <x:v>FP10</x:v>
      </x:c>
      <x:c r="G47" s="92" t="str">
        <x:v>靶冲（定位孔）</x:v>
      </x:c>
      <x:c r="H47" s="92" t="str">
        <x:v>FPC柔性线路板工序</x:v>
      </x:c>
      <x:c r="I47" s="94" t="n">
        <x:v>1</x:v>
      </x:c>
      <x:c r="J47" s="92" t="str">
        <x:v>是</x:v>
      </x:c>
      <x:c r="K47" s="92" t="str"/>
    </x:row>
    <x:row r="48">
      <x:c r="A48" s="92" t="str">
        <x:v>TPL-FPC</x:v>
      </x:c>
      <x:c r="B48" s="92" t="str">
        <x:v>电气零件</x:v>
      </x:c>
      <x:c r="C48" s="92" t="str">
        <x:v>FPC采集总成</x:v>
      </x:c>
      <x:c r="D48" s="92" t="str">
        <x:v>RTR前制程、蚀刻、保护膜、补强、SMT、端子、点胶、电测与终检的完整复杂路线。</x:v>
      </x:c>
      <x:c r="E48" s="93" t="n">
        <x:v>11</x:v>
      </x:c>
      <x:c r="F48" s="92" t="str">
        <x:v>FP11</x:v>
      </x:c>
      <x:c r="G48" s="92" t="str">
        <x:v>线路AOI检测</x:v>
      </x:c>
      <x:c r="H48" s="92" t="str">
        <x:v>FPC柔性线路板工序</x:v>
      </x:c>
      <x:c r="I48" s="94" t="n">
        <x:v>1</x:v>
      </x:c>
      <x:c r="J48" s="92" t="str">
        <x:v>是</x:v>
      </x:c>
      <x:c r="K48" s="92" t="str"/>
    </x:row>
    <x:row r="49">
      <x:c r="A49" s="92" t="str">
        <x:v>TPL-FPC</x:v>
      </x:c>
      <x:c r="B49" s="92" t="str">
        <x:v>电气零件</x:v>
      </x:c>
      <x:c r="C49" s="92" t="str">
        <x:v>FPC采集总成</x:v>
      </x:c>
      <x:c r="D49" s="92" t="str">
        <x:v>RTR前制程、蚀刻、保护膜、补强、SMT、端子、点胶、电测与终检的完整复杂路线。</x:v>
      </x:c>
      <x:c r="E49" s="93" t="n">
        <x:v>12</x:v>
      </x:c>
      <x:c r="F49" s="92" t="str">
        <x:v>FP12</x:v>
      </x:c>
      <x:c r="G49" s="92" t="str">
        <x:v>保护膜贴合/压合（PI保护膜）</x:v>
      </x:c>
      <x:c r="H49" s="92" t="str">
        <x:v>FPC柔性线路板工序</x:v>
      </x:c>
      <x:c r="I49" s="94" t="n">
        <x:v>1</x:v>
      </x:c>
      <x:c r="J49" s="92" t="str">
        <x:v>是</x:v>
      </x:c>
      <x:c r="K49" s="92" t="str"/>
    </x:row>
    <x:row r="50">
      <x:c r="A50" s="92" t="str">
        <x:v>TPL-FPC</x:v>
      </x:c>
      <x:c r="B50" s="92" t="str">
        <x:v>电气零件</x:v>
      </x:c>
      <x:c r="C50" s="92" t="str">
        <x:v>FPC采集总成</x:v>
      </x:c>
      <x:c r="D50" s="92" t="str">
        <x:v>RTR前制程、蚀刻、保护膜、补强、SMT、端子、点胶、电测与终检的完整复杂路线。</x:v>
      </x:c>
      <x:c r="E50" s="93" t="n">
        <x:v>13</x:v>
      </x:c>
      <x:c r="F50" s="92" t="str">
        <x:v>FP13</x:v>
      </x:c>
      <x:c r="G50" s="92" t="str">
        <x:v>保护膜热压及烘烤</x:v>
      </x:c>
      <x:c r="H50" s="92" t="str">
        <x:v>FPC柔性线路板工序</x:v>
      </x:c>
      <x:c r="I50" s="94" t="n">
        <x:v>1</x:v>
      </x:c>
      <x:c r="J50" s="92" t="str">
        <x:v>是</x:v>
      </x:c>
      <x:c r="K50" s="92" t="str"/>
    </x:row>
    <x:row r="51">
      <x:c r="A51" s="92" t="str">
        <x:v>TPL-FPC</x:v>
      </x:c>
      <x:c r="B51" s="92" t="str">
        <x:v>电气零件</x:v>
      </x:c>
      <x:c r="C51" s="92" t="str">
        <x:v>FPC采集总成</x:v>
      </x:c>
      <x:c r="D51" s="92" t="str">
        <x:v>RTR前制程、蚀刻、保护膜、补强、SMT、端子、点胶、电测与终检的完整复杂路线。</x:v>
      </x:c>
      <x:c r="E51" s="93" t="n">
        <x:v>14</x:v>
      </x:c>
      <x:c r="F51" s="92" t="str">
        <x:v>FP14</x:v>
      </x:c>
      <x:c r="G51" s="92" t="str">
        <x:v>OSP表面处理</x:v>
      </x:c>
      <x:c r="H51" s="92" t="str">
        <x:v>FPC柔性线路板工序</x:v>
      </x:c>
      <x:c r="I51" s="94" t="n">
        <x:v>1</x:v>
      </x:c>
      <x:c r="J51" s="92" t="str">
        <x:v>是</x:v>
      </x:c>
      <x:c r="K51" s="92" t="str"/>
    </x:row>
    <x:row r="52">
      <x:c r="A52" s="92" t="str">
        <x:v>TPL-FPC</x:v>
      </x:c>
      <x:c r="B52" s="92" t="str">
        <x:v>电气零件</x:v>
      </x:c>
      <x:c r="C52" s="92" t="str">
        <x:v>FPC采集总成</x:v>
      </x:c>
      <x:c r="D52" s="92" t="str">
        <x:v>RTR前制程、蚀刻、保护膜、补强、SMT、端子、点胶、电测与终检的完整复杂路线。</x:v>
      </x:c>
      <x:c r="E52" s="93" t="n">
        <x:v>15</x:v>
      </x:c>
      <x:c r="F52" s="92" t="str">
        <x:v>FP15</x:v>
      </x:c>
      <x:c r="G52" s="92" t="str">
        <x:v>FPC冲裁</x:v>
      </x:c>
      <x:c r="H52" s="92" t="str">
        <x:v>FPC柔性线路板工序</x:v>
      </x:c>
      <x:c r="I52" s="94" t="n">
        <x:v>1</x:v>
      </x:c>
      <x:c r="J52" s="92" t="str">
        <x:v>是</x:v>
      </x:c>
      <x:c r="K52" s="92" t="str"/>
    </x:row>
    <x:row r="53">
      <x:c r="A53" s="92" t="str">
        <x:v>TPL-FPC</x:v>
      </x:c>
      <x:c r="B53" s="92" t="str">
        <x:v>电气零件</x:v>
      </x:c>
      <x:c r="C53" s="92" t="str">
        <x:v>FPC采集总成</x:v>
      </x:c>
      <x:c r="D53" s="92" t="str">
        <x:v>RTR前制程、蚀刻、保护膜、补强、SMT、端子、点胶、电测与终检的完整复杂路线。</x:v>
      </x:c>
      <x:c r="E53" s="93" t="n">
        <x:v>16</x:v>
      </x:c>
      <x:c r="F53" s="92" t="str">
        <x:v>FP16</x:v>
      </x:c>
      <x:c r="G53" s="92" t="str">
        <x:v>钢模冲切（悬臂及外形）</x:v>
      </x:c>
      <x:c r="H53" s="92" t="str">
        <x:v>FPC柔性线路板工序</x:v>
      </x:c>
      <x:c r="I53" s="94" t="n">
        <x:v>1</x:v>
      </x:c>
      <x:c r="J53" s="92" t="str">
        <x:v>是</x:v>
      </x:c>
      <x:c r="K53" s="92" t="str"/>
    </x:row>
    <x:row r="54">
      <x:c r="A54" s="92" t="str">
        <x:v>TPL-FPC</x:v>
      </x:c>
      <x:c r="B54" s="92" t="str">
        <x:v>电气零件</x:v>
      </x:c>
      <x:c r="C54" s="92" t="str">
        <x:v>FPC采集总成</x:v>
      </x:c>
      <x:c r="D54" s="92" t="str">
        <x:v>RTR前制程、蚀刻、保护膜、补强、SMT、端子、点胶、电测与终检的完整复杂路线。</x:v>
      </x:c>
      <x:c r="E54" s="93" t="n">
        <x:v>17</x:v>
      </x:c>
      <x:c r="F54" s="92" t="str">
        <x:v>FP17</x:v>
      </x:c>
      <x:c r="G54" s="92" t="str">
        <x:v>刀模分切</x:v>
      </x:c>
      <x:c r="H54" s="92" t="str">
        <x:v>FPC柔性线路板工序</x:v>
      </x:c>
      <x:c r="I54" s="94" t="n">
        <x:v>1</x:v>
      </x:c>
      <x:c r="J54" s="92" t="str">
        <x:v>是</x:v>
      </x:c>
      <x:c r="K54" s="92" t="str"/>
    </x:row>
    <x:row r="55">
      <x:c r="A55" s="92" t="str">
        <x:v>TPL-FPC</x:v>
      </x:c>
      <x:c r="B55" s="92" t="str">
        <x:v>电气零件</x:v>
      </x:c>
      <x:c r="C55" s="92" t="str">
        <x:v>FPC采集总成</x:v>
      </x:c>
      <x:c r="D55" s="92" t="str">
        <x:v>RTR前制程、蚀刻、保护膜、补强、SMT、端子、点胶、电测与终检的完整复杂路线。</x:v>
      </x:c>
      <x:c r="E55" s="93" t="n">
        <x:v>18</x:v>
      </x:c>
      <x:c r="F55" s="92" t="str">
        <x:v>FP18</x:v>
      </x:c>
      <x:c r="G55" s="92" t="str">
        <x:v>FR4补强叠层</x:v>
      </x:c>
      <x:c r="H55" s="92" t="str">
        <x:v>FPC柔性线路板工序</x:v>
      </x:c>
      <x:c r="I55" s="94" t="n">
        <x:v>1</x:v>
      </x:c>
      <x:c r="J55" s="92" t="str">
        <x:v>是</x:v>
      </x:c>
      <x:c r="K55" s="92" t="str"/>
    </x:row>
    <x:row r="56">
      <x:c r="A56" s="92" t="str">
        <x:v>TPL-FPC</x:v>
      </x:c>
      <x:c r="B56" s="92" t="str">
        <x:v>电气零件</x:v>
      </x:c>
      <x:c r="C56" s="92" t="str">
        <x:v>FPC采集总成</x:v>
      </x:c>
      <x:c r="D56" s="92" t="str">
        <x:v>RTR前制程、蚀刻、保护膜、补强、SMT、端子、点胶、电测与终检的完整复杂路线。</x:v>
      </x:c>
      <x:c r="E56" s="93" t="n">
        <x:v>19</x:v>
      </x:c>
      <x:c r="F56" s="92" t="str">
        <x:v>FP19</x:v>
      </x:c>
      <x:c r="G56" s="92" t="str">
        <x:v>FR4真空压合</x:v>
      </x:c>
      <x:c r="H56" s="92" t="str">
        <x:v>FPC柔性线路板工序</x:v>
      </x:c>
      <x:c r="I56" s="94" t="n">
        <x:v>1</x:v>
      </x:c>
      <x:c r="J56" s="92" t="str">
        <x:v>是</x:v>
      </x:c>
      <x:c r="K56" s="92" t="str"/>
    </x:row>
    <x:row r="57">
      <x:c r="A57" s="92" t="str">
        <x:v>TPL-FPC</x:v>
      </x:c>
      <x:c r="B57" s="92" t="str">
        <x:v>电气零件</x:v>
      </x:c>
      <x:c r="C57" s="92" t="str">
        <x:v>FPC采集总成</x:v>
      </x:c>
      <x:c r="D57" s="92" t="str">
        <x:v>RTR前制程、蚀刻、保护膜、补强、SMT、端子、点胶、电测与终检的完整复杂路线。</x:v>
      </x:c>
      <x:c r="E57" s="93" t="n">
        <x:v>20</x:v>
      </x:c>
      <x:c r="F57" s="92" t="str">
        <x:v>FP20</x:v>
      </x:c>
      <x:c r="G57" s="92" t="str">
        <x:v>FR4烘烤/固化</x:v>
      </x:c>
      <x:c r="H57" s="92" t="str">
        <x:v>FPC柔性线路板工序</x:v>
      </x:c>
      <x:c r="I57" s="94" t="n">
        <x:v>1</x:v>
      </x:c>
      <x:c r="J57" s="92" t="str">
        <x:v>是</x:v>
      </x:c>
      <x:c r="K57" s="92" t="str"/>
    </x:row>
    <x:row r="58">
      <x:c r="A58" s="92" t="str">
        <x:v>TPL-FPC</x:v>
      </x:c>
      <x:c r="B58" s="92" t="str">
        <x:v>电气零件</x:v>
      </x:c>
      <x:c r="C58" s="92" t="str">
        <x:v>FPC采集总成</x:v>
      </x:c>
      <x:c r="D58" s="92" t="str">
        <x:v>RTR前制程、蚀刻、保护膜、补强、SMT、端子、点胶、电测与终检的完整复杂路线。</x:v>
      </x:c>
      <x:c r="E58" s="93" t="n">
        <x:v>21</x:v>
      </x:c>
      <x:c r="F58" s="92" t="str">
        <x:v>FP21</x:v>
      </x:c>
      <x:c r="G58" s="92" t="str">
        <x:v>FPC过程检验Ⅰ</x:v>
      </x:c>
      <x:c r="H58" s="92" t="str">
        <x:v>FPC柔性线路板工序</x:v>
      </x:c>
      <x:c r="I58" s="94" t="n">
        <x:v>1</x:v>
      </x:c>
      <x:c r="J58" s="92" t="str">
        <x:v>是</x:v>
      </x:c>
      <x:c r="K58" s="92" t="str"/>
    </x:row>
    <x:row r="59">
      <x:c r="A59" s="92" t="str">
        <x:v>TPL-FPC</x:v>
      </x:c>
      <x:c r="B59" s="92" t="str">
        <x:v>电气零件</x:v>
      </x:c>
      <x:c r="C59" s="92" t="str">
        <x:v>FPC采集总成</x:v>
      </x:c>
      <x:c r="D59" s="92" t="str">
        <x:v>RTR前制程、蚀刻、保护膜、补强、SMT、端子、点胶、电测与终检的完整复杂路线。</x:v>
      </x:c>
      <x:c r="E59" s="93" t="n">
        <x:v>22</x:v>
      </x:c>
      <x:c r="F59" s="92" t="str">
        <x:v>FP22</x:v>
      </x:c>
      <x:c r="G59" s="92" t="str">
        <x:v>SMT贴镍片（锡膏/贴片/回流）</x:v>
      </x:c>
      <x:c r="H59" s="92" t="str">
        <x:v>FPC柔性线路板工序</x:v>
      </x:c>
      <x:c r="I59" s="94" t="n">
        <x:v>1</x:v>
      </x:c>
      <x:c r="J59" s="92" t="str">
        <x:v>是</x:v>
      </x:c>
      <x:c r="K59" s="92" t="str"/>
    </x:row>
    <x:row r="60">
      <x:c r="A60" s="92" t="str">
        <x:v>TPL-FPC</x:v>
      </x:c>
      <x:c r="B60" s="92" t="str">
        <x:v>电气零件</x:v>
      </x:c>
      <x:c r="C60" s="92" t="str">
        <x:v>FPC采集总成</x:v>
      </x:c>
      <x:c r="D60" s="92" t="str">
        <x:v>RTR前制程、蚀刻、保护膜、补强、SMT、端子、点胶、电测与终检的完整复杂路线。</x:v>
      </x:c>
      <x:c r="E60" s="93" t="n">
        <x:v>23</x:v>
      </x:c>
      <x:c r="F60" s="92" t="str">
        <x:v>FP23</x:v>
      </x:c>
      <x:c r="G60" s="92" t="str">
        <x:v>等离子清洗</x:v>
      </x:c>
      <x:c r="H60" s="92" t="str">
        <x:v>FPC柔性线路板工序</x:v>
      </x:c>
      <x:c r="I60" s="94" t="n">
        <x:v>1</x:v>
      </x:c>
      <x:c r="J60" s="92" t="str">
        <x:v>是</x:v>
      </x:c>
      <x:c r="K60" s="92" t="str"/>
    </x:row>
    <x:row r="61">
      <x:c r="A61" s="92" t="str">
        <x:v>TPL-FPC</x:v>
      </x:c>
      <x:c r="B61" s="92" t="str">
        <x:v>电气零件</x:v>
      </x:c>
      <x:c r="C61" s="92" t="str">
        <x:v>FPC采集总成</x:v>
      </x:c>
      <x:c r="D61" s="92" t="str">
        <x:v>RTR前制程、蚀刻、保护膜、补强、SMT、端子、点胶、电测与终检的完整复杂路线。</x:v>
      </x:c>
      <x:c r="E61" s="93" t="n">
        <x:v>24</x:v>
      </x:c>
      <x:c r="F61" s="92" t="str">
        <x:v>FP24</x:v>
      </x:c>
      <x:c r="G61" s="92" t="str">
        <x:v>FPC过程检验Ⅱ</x:v>
      </x:c>
      <x:c r="H61" s="92" t="str">
        <x:v>FPC柔性线路板工序</x:v>
      </x:c>
      <x:c r="I61" s="94" t="n">
        <x:v>1</x:v>
      </x:c>
      <x:c r="J61" s="92" t="str">
        <x:v>是</x:v>
      </x:c>
      <x:c r="K61" s="92" t="str"/>
    </x:row>
    <x:row r="62">
      <x:c r="A62" s="92" t="str">
        <x:v>TPL-FPC</x:v>
      </x:c>
      <x:c r="B62" s="92" t="str">
        <x:v>电气零件</x:v>
      </x:c>
      <x:c r="C62" s="92" t="str">
        <x:v>FPC采集总成</x:v>
      </x:c>
      <x:c r="D62" s="92" t="str">
        <x:v>RTR前制程、蚀刻、保护膜、补强、SMT、端子、点胶、电测与终检的完整复杂路线。</x:v>
      </x:c>
      <x:c r="E62" s="93" t="n">
        <x:v>25</x:v>
      </x:c>
      <x:c r="F62" s="92" t="str">
        <x:v>FP25</x:v>
      </x:c>
      <x:c r="G62" s="92" t="str">
        <x:v>FPC X-Ray检测</x:v>
      </x:c>
      <x:c r="H62" s="92" t="str">
        <x:v>FPC柔性线路板工序</x:v>
      </x:c>
      <x:c r="I62" s="94" t="n">
        <x:v>1</x:v>
      </x:c>
      <x:c r="J62" s="92" t="str">
        <x:v>是</x:v>
      </x:c>
      <x:c r="K62" s="92" t="str"/>
    </x:row>
    <x:row r="63">
      <x:c r="A63" s="92" t="str">
        <x:v>TPL-FPC</x:v>
      </x:c>
      <x:c r="B63" s="92" t="str">
        <x:v>电气零件</x:v>
      </x:c>
      <x:c r="C63" s="92" t="str">
        <x:v>FPC采集总成</x:v>
      </x:c>
      <x:c r="D63" s="92" t="str">
        <x:v>RTR前制程、蚀刻、保护膜、补强、SMT、端子、点胶、电测与终检的完整复杂路线。</x:v>
      </x:c>
      <x:c r="E63" s="93" t="n">
        <x:v>26</x:v>
      </x:c>
      <x:c r="F63" s="92" t="str">
        <x:v>FP26</x:v>
      </x:c>
      <x:c r="G63" s="92" t="str">
        <x:v>插件端子压接</x:v>
      </x:c>
      <x:c r="H63" s="92" t="str">
        <x:v>FPC柔性线路板工序</x:v>
      </x:c>
      <x:c r="I63" s="94" t="n">
        <x:v>1</x:v>
      </x:c>
      <x:c r="J63" s="92" t="str">
        <x:v>是</x:v>
      </x:c>
      <x:c r="K63" s="92" t="str"/>
    </x:row>
    <x:row r="64">
      <x:c r="A64" s="92" t="str">
        <x:v>TPL-FPC</x:v>
      </x:c>
      <x:c r="B64" s="92" t="str">
        <x:v>电气零件</x:v>
      </x:c>
      <x:c r="C64" s="92" t="str">
        <x:v>FPC采集总成</x:v>
      </x:c>
      <x:c r="D64" s="92" t="str">
        <x:v>RTR前制程、蚀刻、保护膜、补强、SMT、端子、点胶、电测与终检的完整复杂路线。</x:v>
      </x:c>
      <x:c r="E64" s="93" t="n">
        <x:v>27</x:v>
      </x:c>
      <x:c r="F64" s="92" t="str">
        <x:v>FP27</x:v>
      </x:c>
      <x:c r="G64" s="92" t="str">
        <x:v>端子压接AVI检测</x:v>
      </x:c>
      <x:c r="H64" s="92" t="str">
        <x:v>FPC柔性线路板工序</x:v>
      </x:c>
      <x:c r="I64" s="94" t="n">
        <x:v>1</x:v>
      </x:c>
      <x:c r="J64" s="92" t="str">
        <x:v>是</x:v>
      </x:c>
      <x:c r="K64" s="92" t="str"/>
    </x:row>
    <x:row r="65">
      <x:c r="A65" s="92" t="str">
        <x:v>TPL-FPC</x:v>
      </x:c>
      <x:c r="B65" s="92" t="str">
        <x:v>电气零件</x:v>
      </x:c>
      <x:c r="C65" s="92" t="str">
        <x:v>FPC采集总成</x:v>
      </x:c>
      <x:c r="D65" s="92" t="str">
        <x:v>RTR前制程、蚀刻、保护膜、补强、SMT、端子、点胶、电测与终检的完整复杂路线。</x:v>
      </x:c>
      <x:c r="E65" s="93" t="n">
        <x:v>28</x:v>
      </x:c>
      <x:c r="F65" s="92" t="str">
        <x:v>FP28</x:v>
      </x:c>
      <x:c r="G65" s="92" t="str">
        <x:v>FPC点胶</x:v>
      </x:c>
      <x:c r="H65" s="92" t="str">
        <x:v>FPC柔性线路板工序</x:v>
      </x:c>
      <x:c r="I65" s="94" t="n">
        <x:v>1</x:v>
      </x:c>
      <x:c r="J65" s="92" t="str">
        <x:v>是</x:v>
      </x:c>
      <x:c r="K65" s="92" t="str"/>
    </x:row>
    <x:row r="66">
      <x:c r="A66" s="92" t="str">
        <x:v>TPL-FPC</x:v>
      </x:c>
      <x:c r="B66" s="92" t="str">
        <x:v>电气零件</x:v>
      </x:c>
      <x:c r="C66" s="92" t="str">
        <x:v>FPC采集总成</x:v>
      </x:c>
      <x:c r="D66" s="92" t="str">
        <x:v>RTR前制程、蚀刻、保护膜、补强、SMT、端子、点胶、电测与终检的完整复杂路线。</x:v>
      </x:c>
      <x:c r="E66" s="93" t="n">
        <x:v>29</x:v>
      </x:c>
      <x:c r="F66" s="92" t="str">
        <x:v>FP29</x:v>
      </x:c>
      <x:c r="G66" s="92" t="str">
        <x:v>点胶检查</x:v>
      </x:c>
      <x:c r="H66" s="92" t="str">
        <x:v>FPC柔性线路板工序</x:v>
      </x:c>
      <x:c r="I66" s="94" t="n">
        <x:v>1</x:v>
      </x:c>
      <x:c r="J66" s="92" t="str">
        <x:v>是</x:v>
      </x:c>
      <x:c r="K66" s="92" t="str"/>
    </x:row>
    <x:row r="67">
      <x:c r="A67" s="92" t="str">
        <x:v>TPL-FPC</x:v>
      </x:c>
      <x:c r="B67" s="92" t="str">
        <x:v>电气零件</x:v>
      </x:c>
      <x:c r="C67" s="92" t="str">
        <x:v>FPC采集总成</x:v>
      </x:c>
      <x:c r="D67" s="92" t="str">
        <x:v>RTR前制程、蚀刻、保护膜、补强、SMT、端子、点胶、电测与终检的完整复杂路线。</x:v>
      </x:c>
      <x:c r="E67" s="93" t="n">
        <x:v>30</x:v>
      </x:c>
      <x:c r="F67" s="92" t="str">
        <x:v>FP30</x:v>
      </x:c>
      <x:c r="G67" s="92" t="str">
        <x:v>胶水固化</x:v>
      </x:c>
      <x:c r="H67" s="92" t="str">
        <x:v>FPC柔性线路板工序</x:v>
      </x:c>
      <x:c r="I67" s="94" t="n">
        <x:v>1</x:v>
      </x:c>
      <x:c r="J67" s="92" t="str">
        <x:v>是</x:v>
      </x:c>
      <x:c r="K67" s="92" t="str"/>
    </x:row>
    <x:row r="68">
      <x:c r="A68" s="92" t="str">
        <x:v>TPL-FPC</x:v>
      </x:c>
      <x:c r="B68" s="92" t="str">
        <x:v>电气零件</x:v>
      </x:c>
      <x:c r="C68" s="92" t="str">
        <x:v>FPC采集总成</x:v>
      </x:c>
      <x:c r="D68" s="92" t="str">
        <x:v>RTR前制程、蚀刻、保护膜、补强、SMT、端子、点胶、电测与终检的完整复杂路线。</x:v>
      </x:c>
      <x:c r="E68" s="93" t="n">
        <x:v>31</x:v>
      </x:c>
      <x:c r="F68" s="92" t="str">
        <x:v>FP31</x:v>
      </x:c>
      <x:c r="G68" s="92" t="str">
        <x:v>辅材贴合</x:v>
      </x:c>
      <x:c r="H68" s="92" t="str">
        <x:v>FPC柔性线路板工序</x:v>
      </x:c>
      <x:c r="I68" s="94" t="n">
        <x:v>1</x:v>
      </x:c>
      <x:c r="J68" s="92" t="str">
        <x:v>是</x:v>
      </x:c>
      <x:c r="K68" s="92" t="str"/>
    </x:row>
    <x:row r="69">
      <x:c r="A69" s="92" t="str">
        <x:v>TPL-FPC</x:v>
      </x:c>
      <x:c r="B69" s="92" t="str">
        <x:v>电气零件</x:v>
      </x:c>
      <x:c r="C69" s="92" t="str">
        <x:v>FPC采集总成</x:v>
      </x:c>
      <x:c r="D69" s="92" t="str">
        <x:v>RTR前制程、蚀刻、保护膜、补强、SMT、端子、点胶、电测与终检的完整复杂路线。</x:v>
      </x:c>
      <x:c r="E69" s="93" t="n">
        <x:v>32</x:v>
      </x:c>
      <x:c r="F69" s="92" t="str">
        <x:v>FP32</x:v>
      </x:c>
      <x:c r="G69" s="92" t="str">
        <x:v>FPC电测（回路导通）</x:v>
      </x:c>
      <x:c r="H69" s="92" t="str">
        <x:v>FPC柔性线路板工序</x:v>
      </x:c>
      <x:c r="I69" s="94" t="n">
        <x:v>1</x:v>
      </x:c>
      <x:c r="J69" s="92" t="str">
        <x:v>是</x:v>
      </x:c>
      <x:c r="K69" s="92" t="str"/>
    </x:row>
    <x:row r="70">
      <x:c r="A70" s="92" t="str">
        <x:v>TPL-FPC</x:v>
      </x:c>
      <x:c r="B70" s="92" t="str">
        <x:v>电气零件</x:v>
      </x:c>
      <x:c r="C70" s="92" t="str">
        <x:v>FPC采集总成</x:v>
      </x:c>
      <x:c r="D70" s="92" t="str">
        <x:v>RTR前制程、蚀刻、保护膜、补强、SMT、端子、点胶、电测与终检的完整复杂路线。</x:v>
      </x:c>
      <x:c r="E70" s="93" t="n">
        <x:v>33</x:v>
      </x:c>
      <x:c r="F70" s="92" t="str">
        <x:v>FP33</x:v>
      </x:c>
      <x:c r="G70" s="92" t="str">
        <x:v>FPC终检</x:v>
      </x:c>
      <x:c r="H70" s="92" t="str">
        <x:v>FPC柔性线路板工序</x:v>
      </x:c>
      <x:c r="I70" s="94" t="n">
        <x:v>1</x:v>
      </x:c>
      <x:c r="J70" s="92" t="str">
        <x:v>是</x:v>
      </x:c>
      <x:c r="K70" s="92" t="str"/>
    </x:row>
    <x:row r="71">
      <x:c r="A71" s="92" t="str">
        <x:v>TPL-FPC</x:v>
      </x:c>
      <x:c r="B71" s="92" t="str">
        <x:v>电气零件</x:v>
      </x:c>
      <x:c r="C71" s="92" t="str">
        <x:v>FPC采集总成</x:v>
      </x:c>
      <x:c r="D71" s="92" t="str">
        <x:v>RTR前制程、蚀刻、保护膜、补强、SMT、端子、点胶、电测与终检的完整复杂路线。</x:v>
      </x:c>
      <x:c r="E71" s="93" t="n">
        <x:v>34</x:v>
      </x:c>
      <x:c r="F71" s="92" t="str">
        <x:v>FP34</x:v>
      </x:c>
      <x:c r="G71" s="92" t="str">
        <x:v>FPC包装</x:v>
      </x:c>
      <x:c r="H71" s="92" t="str">
        <x:v>FPC柔性线路板工序</x:v>
      </x:c>
      <x:c r="I71" s="94" t="n">
        <x:v>1</x:v>
      </x:c>
      <x:c r="J71" s="92" t="str">
        <x:v>是</x:v>
      </x:c>
      <x:c r="K71" s="92" t="str"/>
    </x:row>
    <x:row r="72">
      <x:c r="A72" s="92" t="str">
        <x:v>TPL-INJECTION</x:v>
      </x:c>
      <x:c r="B72" s="92" t="str">
        <x:v>成型件</x:v>
      </x:c>
      <x:c r="C72" s="92" t="str">
        <x:v>注塑件（常规）</x:v>
      </x:c>
      <x:c r="D72" s="92" t="str">
        <x:v>原料干燥、160T注塑、修边、尺寸外观、打标和包装。</x:v>
      </x:c>
      <x:c r="E72" s="93" t="n">
        <x:v>1</x:v>
      </x:c>
      <x:c r="F72" s="92" t="str">
        <x:v>IM80</x:v>
      </x:c>
      <x:c r="G72" s="92" t="str">
        <x:v>塑料原料干燥</x:v>
      </x:c>
      <x:c r="H72" s="92" t="str">
        <x:v>注塑工序</x:v>
      </x:c>
      <x:c r="I72" s="94" t="n">
        <x:v>1</x:v>
      </x:c>
      <x:c r="J72" s="92" t="str">
        <x:v>是</x:v>
      </x:c>
      <x:c r="K72" s="92" t="str">
        <x:v>行业典型路线</x:v>
      </x:c>
    </x:row>
    <x:row r="73">
      <x:c r="A73" s="92" t="str">
        <x:v>TPL-INJECTION</x:v>
      </x:c>
      <x:c r="B73" s="92" t="str">
        <x:v>成型件</x:v>
      </x:c>
      <x:c r="C73" s="92" t="str">
        <x:v>注塑件（常规）</x:v>
      </x:c>
      <x:c r="D73" s="92" t="str">
        <x:v>原料干燥、160T注塑、修边、尺寸外观、打标和包装。</x:v>
      </x:c>
      <x:c r="E73" s="93" t="n">
        <x:v>2</x:v>
      </x:c>
      <x:c r="F73" s="92" t="str">
        <x:v>IM20</x:v>
      </x:c>
      <x:c r="G73" s="92" t="str">
        <x:v>注塑160T</x:v>
      </x:c>
      <x:c r="H73" s="92" t="str">
        <x:v>注塑工序</x:v>
      </x:c>
      <x:c r="I73" s="94" t="n">
        <x:v>1</x:v>
      </x:c>
      <x:c r="J73" s="92" t="str">
        <x:v>是</x:v>
      </x:c>
      <x:c r="K73" s="92" t="str"/>
    </x:row>
    <x:row r="74">
      <x:c r="A74" s="92" t="str">
        <x:v>TPL-INJECTION</x:v>
      </x:c>
      <x:c r="B74" s="92" t="str">
        <x:v>成型件</x:v>
      </x:c>
      <x:c r="C74" s="92" t="str">
        <x:v>注塑件（常规）</x:v>
      </x:c>
      <x:c r="D74" s="92" t="str">
        <x:v>原料干燥、160T注塑、修边、尺寸外观、打标和包装。</x:v>
      </x:c>
      <x:c r="E74" s="93" t="n">
        <x:v>3</x:v>
      </x:c>
      <x:c r="F74" s="92" t="str">
        <x:v>MA90</x:v>
      </x:c>
      <x:c r="G74" s="92" t="str">
        <x:v>人工修边/去毛刺</x:v>
      </x:c>
      <x:c r="H74" s="92" t="str">
        <x:v>人工工序</x:v>
      </x:c>
      <x:c r="I74" s="94" t="n">
        <x:v>1</x:v>
      </x:c>
      <x:c r="J74" s="92" t="str">
        <x:v>是</x:v>
      </x:c>
      <x:c r="K74" s="92" t="str"/>
    </x:row>
    <x:row r="75">
      <x:c r="A75" s="92" t="str">
        <x:v>TPL-INJECTION</x:v>
      </x:c>
      <x:c r="B75" s="92" t="str">
        <x:v>成型件</x:v>
      </x:c>
      <x:c r="C75" s="92" t="str">
        <x:v>注塑件（常规）</x:v>
      </x:c>
      <x:c r="D75" s="92" t="str">
        <x:v>原料干燥、160T注塑、修边、尺寸外观、打标和包装。</x:v>
      </x:c>
      <x:c r="E75" s="93" t="n">
        <x:v>4</x:v>
      </x:c>
      <x:c r="F75" s="92" t="str">
        <x:v>QI10</x:v>
      </x:c>
      <x:c r="G75" s="92" t="str">
        <x:v>外观全检</x:v>
      </x:c>
      <x:c r="H75" s="92" t="str">
        <x:v>质检工序</x:v>
      </x:c>
      <x:c r="I75" s="94" t="n">
        <x:v>1</x:v>
      </x:c>
      <x:c r="J75" s="92" t="str">
        <x:v>是</x:v>
      </x:c>
      <x:c r="K75" s="92" t="str"/>
    </x:row>
    <x:row r="76">
      <x:c r="A76" s="92" t="str">
        <x:v>TPL-INJECTION</x:v>
      </x:c>
      <x:c r="B76" s="92" t="str">
        <x:v>成型件</x:v>
      </x:c>
      <x:c r="C76" s="92" t="str">
        <x:v>注塑件（常规）</x:v>
      </x:c>
      <x:c r="D76" s="92" t="str">
        <x:v>原料干燥、160T注塑、修边、尺寸外观、打标和包装。</x:v>
      </x:c>
      <x:c r="E76" s="93" t="n">
        <x:v>5</x:v>
      </x:c>
      <x:c r="F76" s="92" t="str">
        <x:v>QI20</x:v>
      </x:c>
      <x:c r="G76" s="92" t="str">
        <x:v>尺寸抽检</x:v>
      </x:c>
      <x:c r="H76" s="92" t="str">
        <x:v>质检工序</x:v>
      </x:c>
      <x:c r="I76" s="94" t="n">
        <x:v>1</x:v>
      </x:c>
      <x:c r="J76" s="92" t="str">
        <x:v>是</x:v>
      </x:c>
      <x:c r="K76" s="92" t="str"/>
    </x:row>
    <x:row r="77">
      <x:c r="A77" s="92" t="str">
        <x:v>TPL-INJECTION</x:v>
      </x:c>
      <x:c r="B77" s="92" t="str">
        <x:v>成型件</x:v>
      </x:c>
      <x:c r="C77" s="92" t="str">
        <x:v>注塑件（常规）</x:v>
      </x:c>
      <x:c r="D77" s="92" t="str">
        <x:v>原料干燥、160T注塑、修边、尺寸外观、打标和包装。</x:v>
      </x:c>
      <x:c r="E77" s="93" t="n">
        <x:v>6</x:v>
      </x:c>
      <x:c r="F77" s="92" t="str">
        <x:v>PR40</x:v>
      </x:c>
      <x:c r="G77" s="92" t="str">
        <x:v>激光打标</x:v>
      </x:c>
      <x:c r="H77" s="92" t="str">
        <x:v>蚀刻印刷工序</x:v>
      </x:c>
      <x:c r="I77" s="94" t="n">
        <x:v>1</x:v>
      </x:c>
      <x:c r="J77" s="92" t="str">
        <x:v>是</x:v>
      </x:c>
      <x:c r="K77" s="92" t="str"/>
    </x:row>
    <x:row r="78">
      <x:c r="A78" s="92" t="str">
        <x:v>TPL-INJECTION</x:v>
      </x:c>
      <x:c r="B78" s="92" t="str">
        <x:v>成型件</x:v>
      </x:c>
      <x:c r="C78" s="92" t="str">
        <x:v>注塑件（常规）</x:v>
      </x:c>
      <x:c r="D78" s="92" t="str">
        <x:v>原料干燥、160T注塑、修边、尺寸外观、打标和包装。</x:v>
      </x:c>
      <x:c r="E78" s="93" t="n">
        <x:v>7</x:v>
      </x:c>
      <x:c r="F78" s="92" t="str">
        <x:v>PK10</x:v>
      </x:c>
      <x:c r="G78" s="92" t="str">
        <x:v>人工装袋</x:v>
      </x:c>
      <x:c r="H78" s="92" t="str">
        <x:v>包装工序</x:v>
      </x:c>
      <x:c r="I78" s="94" t="n">
        <x:v>1</x:v>
      </x:c>
      <x:c r="J78" s="92" t="str">
        <x:v>是</x:v>
      </x:c>
      <x:c r="K78" s="92" t="str"/>
    </x:row>
    <x:row r="79">
      <x:c r="A79" s="92" t="str">
        <x:v>TPL-INJECTION</x:v>
      </x:c>
      <x:c r="B79" s="92" t="str">
        <x:v>成型件</x:v>
      </x:c>
      <x:c r="C79" s="92" t="str">
        <x:v>注塑件（常规）</x:v>
      </x:c>
      <x:c r="D79" s="92" t="str">
        <x:v>原料干燥、160T注塑、修边、尺寸外观、打标和包装。</x:v>
      </x:c>
      <x:c r="E79" s="93" t="n">
        <x:v>8</x:v>
      </x:c>
      <x:c r="F79" s="92" t="str">
        <x:v>PK20</x:v>
      </x:c>
      <x:c r="G79" s="92" t="str">
        <x:v>贴标签</x:v>
      </x:c>
      <x:c r="H79" s="92" t="str">
        <x:v>包装工序</x:v>
      </x:c>
      <x:c r="I79" s="94" t="n">
        <x:v>1</x:v>
      </x:c>
      <x:c r="J79" s="92" t="str">
        <x:v>是</x:v>
      </x:c>
      <x:c r="K79" s="92" t="str"/>
    </x:row>
    <x:row r="80">
      <x:c r="A80" s="92" t="str">
        <x:v>TPL-INJECTION</x:v>
      </x:c>
      <x:c r="B80" s="92" t="str">
        <x:v>成型件</x:v>
      </x:c>
      <x:c r="C80" s="92" t="str">
        <x:v>注塑件（常规）</x:v>
      </x:c>
      <x:c r="D80" s="92" t="str">
        <x:v>原料干燥、160T注塑、修边、尺寸外观、打标和包装。</x:v>
      </x:c>
      <x:c r="E80" s="93" t="n">
        <x:v>9</x:v>
      </x:c>
      <x:c r="F80" s="92" t="str">
        <x:v>PK40</x:v>
      </x:c>
      <x:c r="G80" s="92" t="str">
        <x:v>装箱</x:v>
      </x:c>
      <x:c r="H80" s="92" t="str">
        <x:v>包装工序</x:v>
      </x:c>
      <x:c r="I80" s="94" t="n">
        <x:v>1</x:v>
      </x:c>
      <x:c r="J80" s="92" t="str">
        <x:v>是</x:v>
      </x:c>
      <x:c r="K80" s="92" t="str"/>
    </x:row>
    <x:row r="81">
      <x:c r="A81" s="92" t="str">
        <x:v>TPL-STAMPING</x:v>
      </x:c>
      <x:c r="B81" s="92" t="str">
        <x:v>金属件</x:v>
      </x:c>
      <x:c r="C81" s="92" t="str">
        <x:v>冲压件</x:v>
      </x:c>
      <x:c r="D81" s="92" t="str">
        <x:v>卷料冲压、去毛刺清洗、尺寸外观、追溯与包装。</x:v>
      </x:c>
      <x:c r="E81" s="93" t="n">
        <x:v>1</x:v>
      </x:c>
      <x:c r="F81" s="92" t="str">
        <x:v>ST20</x:v>
      </x:c>
      <x:c r="G81" s="92" t="str">
        <x:v>中型连续冲压（160T）</x:v>
      </x:c>
      <x:c r="H81" s="92" t="str">
        <x:v>冲压工序</x:v>
      </x:c>
      <x:c r="I81" s="94" t="n">
        <x:v>1</x:v>
      </x:c>
      <x:c r="J81" s="92" t="str">
        <x:v>是</x:v>
      </x:c>
      <x:c r="K81" s="92" t="str">
        <x:v>行业典型路线</x:v>
      </x:c>
    </x:row>
    <x:row r="82">
      <x:c r="A82" s="92" t="str">
        <x:v>TPL-STAMPING</x:v>
      </x:c>
      <x:c r="B82" s="92" t="str">
        <x:v>金属件</x:v>
      </x:c>
      <x:c r="C82" s="92" t="str">
        <x:v>冲压件</x:v>
      </x:c>
      <x:c r="D82" s="92" t="str">
        <x:v>卷料冲压、去毛刺清洗、尺寸外观、追溯与包装。</x:v>
      </x:c>
      <x:c r="E82" s="93" t="n">
        <x:v>2</x:v>
      </x:c>
      <x:c r="F82" s="92" t="str">
        <x:v>PF10</x:v>
      </x:c>
      <x:c r="G82" s="92" t="str">
        <x:v>振动研磨去毛刺</x:v>
      </x:c>
      <x:c r="H82" s="92" t="str">
        <x:v>后处理</x:v>
      </x:c>
      <x:c r="I82" s="94" t="n">
        <x:v>1</x:v>
      </x:c>
      <x:c r="J82" s="92" t="str">
        <x:v>是</x:v>
      </x:c>
      <x:c r="K82" s="92" t="str"/>
    </x:row>
    <x:row r="83">
      <x:c r="A83" s="92" t="str">
        <x:v>TPL-STAMPING</x:v>
      </x:c>
      <x:c r="B83" s="92" t="str">
        <x:v>金属件</x:v>
      </x:c>
      <x:c r="C83" s="92" t="str">
        <x:v>冲压件</x:v>
      </x:c>
      <x:c r="D83" s="92" t="str">
        <x:v>卷料冲压、去毛刺清洗、尺寸外观、追溯与包装。</x:v>
      </x:c>
      <x:c r="E83" s="93" t="n">
        <x:v>3</x:v>
      </x:c>
      <x:c r="F83" s="92" t="str">
        <x:v>PF60</x:v>
      </x:c>
      <x:c r="G83" s="92" t="str">
        <x:v>超声波清洗</x:v>
      </x:c>
      <x:c r="H83" s="92" t="str">
        <x:v>后处理</x:v>
      </x:c>
      <x:c r="I83" s="94" t="n">
        <x:v>1</x:v>
      </x:c>
      <x:c r="J83" s="92" t="str">
        <x:v>是</x:v>
      </x:c>
      <x:c r="K83" s="92" t="str"/>
    </x:row>
    <x:row r="84">
      <x:c r="A84" s="92" t="str">
        <x:v>TPL-STAMPING</x:v>
      </x:c>
      <x:c r="B84" s="92" t="str">
        <x:v>金属件</x:v>
      </x:c>
      <x:c r="C84" s="92" t="str">
        <x:v>冲压件</x:v>
      </x:c>
      <x:c r="D84" s="92" t="str">
        <x:v>卷料冲压、去毛刺清洗、尺寸外观、追溯与包装。</x:v>
      </x:c>
      <x:c r="E84" s="93" t="n">
        <x:v>4</x:v>
      </x:c>
      <x:c r="F84" s="92" t="str">
        <x:v>QI10</x:v>
      </x:c>
      <x:c r="G84" s="92" t="str">
        <x:v>外观全检</x:v>
      </x:c>
      <x:c r="H84" s="92" t="str">
        <x:v>质检工序</x:v>
      </x:c>
      <x:c r="I84" s="94" t="n">
        <x:v>1</x:v>
      </x:c>
      <x:c r="J84" s="92" t="str">
        <x:v>是</x:v>
      </x:c>
      <x:c r="K84" s="92" t="str"/>
    </x:row>
    <x:row r="85">
      <x:c r="A85" s="92" t="str">
        <x:v>TPL-STAMPING</x:v>
      </x:c>
      <x:c r="B85" s="92" t="str">
        <x:v>金属件</x:v>
      </x:c>
      <x:c r="C85" s="92" t="str">
        <x:v>冲压件</x:v>
      </x:c>
      <x:c r="D85" s="92" t="str">
        <x:v>卷料冲压、去毛刺清洗、尺寸外观、追溯与包装。</x:v>
      </x:c>
      <x:c r="E85" s="93" t="n">
        <x:v>5</x:v>
      </x:c>
      <x:c r="F85" s="92" t="str">
        <x:v>QI20</x:v>
      </x:c>
      <x:c r="G85" s="92" t="str">
        <x:v>尺寸抽检</x:v>
      </x:c>
      <x:c r="H85" s="92" t="str">
        <x:v>质检工序</x:v>
      </x:c>
      <x:c r="I85" s="94" t="n">
        <x:v>1</x:v>
      </x:c>
      <x:c r="J85" s="92" t="str">
        <x:v>是</x:v>
      </x:c>
      <x:c r="K85" s="92" t="str"/>
    </x:row>
    <x:row r="86">
      <x:c r="A86" s="92" t="str">
        <x:v>TPL-STAMPING</x:v>
      </x:c>
      <x:c r="B86" s="92" t="str">
        <x:v>金属件</x:v>
      </x:c>
      <x:c r="C86" s="92" t="str">
        <x:v>冲压件</x:v>
      </x:c>
      <x:c r="D86" s="92" t="str">
        <x:v>卷料冲压、去毛刺清洗、尺寸外观、追溯与包装。</x:v>
      </x:c>
      <x:c r="E86" s="93" t="n">
        <x:v>6</x:v>
      </x:c>
      <x:c r="F86" s="92" t="str">
        <x:v>PR40</x:v>
      </x:c>
      <x:c r="G86" s="92" t="str">
        <x:v>激光打标</x:v>
      </x:c>
      <x:c r="H86" s="92" t="str">
        <x:v>蚀刻印刷工序</x:v>
      </x:c>
      <x:c r="I86" s="94" t="n">
        <x:v>1</x:v>
      </x:c>
      <x:c r="J86" s="92" t="str">
        <x:v>是</x:v>
      </x:c>
      <x:c r="K86" s="92" t="str"/>
    </x:row>
    <x:row r="87">
      <x:c r="A87" s="92" t="str">
        <x:v>TPL-STAMPING</x:v>
      </x:c>
      <x:c r="B87" s="92" t="str">
        <x:v>金属件</x:v>
      </x:c>
      <x:c r="C87" s="92" t="str">
        <x:v>冲压件</x:v>
      </x:c>
      <x:c r="D87" s="92" t="str">
        <x:v>卷料冲压、去毛刺清洗、尺寸外观、追溯与包装。</x:v>
      </x:c>
      <x:c r="E87" s="93" t="n">
        <x:v>7</x:v>
      </x:c>
      <x:c r="F87" s="92" t="str">
        <x:v>PK10</x:v>
      </x:c>
      <x:c r="G87" s="92" t="str">
        <x:v>人工装袋</x:v>
      </x:c>
      <x:c r="H87" s="92" t="str">
        <x:v>包装工序</x:v>
      </x:c>
      <x:c r="I87" s="94" t="n">
        <x:v>1</x:v>
      </x:c>
      <x:c r="J87" s="92" t="str">
        <x:v>是</x:v>
      </x:c>
      <x:c r="K87" s="92" t="str"/>
    </x:row>
    <x:row r="88">
      <x:c r="A88" s="92" t="str">
        <x:v>TPL-STAMPING</x:v>
      </x:c>
      <x:c r="B88" s="92" t="str">
        <x:v>金属件</x:v>
      </x:c>
      <x:c r="C88" s="92" t="str">
        <x:v>冲压件</x:v>
      </x:c>
      <x:c r="D88" s="92" t="str">
        <x:v>卷料冲压、去毛刺清洗、尺寸外观、追溯与包装。</x:v>
      </x:c>
      <x:c r="E88" s="93" t="n">
        <x:v>8</x:v>
      </x:c>
      <x:c r="F88" s="92" t="str">
        <x:v>PK40</x:v>
      </x:c>
      <x:c r="G88" s="92" t="str">
        <x:v>装箱</x:v>
      </x:c>
      <x:c r="H88" s="92" t="str">
        <x:v>包装工序</x:v>
      </x:c>
      <x:c r="I88" s="94" t="n">
        <x:v>1</x:v>
      </x:c>
      <x:c r="J88" s="92" t="str">
        <x:v>是</x:v>
      </x:c>
      <x:c r="K88" s="92" t="str"/>
    </x:row>
    <x:row r="89">
      <x:c r="A89" s="92" t="str">
        <x:v>TPL-DIECAST</x:v>
      </x:c>
      <x:c r="B89" s="92" t="str">
        <x:v>金属件</x:v>
      </x:c>
      <x:c r="C89" s="92" t="str">
        <x:v>压铸件</x:v>
      </x:c>
      <x:c r="D89" s="92" t="str">
        <x:v>500T铝合金压铸、切边抛丸、机加工、清洗检验与包装。</x:v>
      </x:c>
      <x:c r="E89" s="93" t="n">
        <x:v>1</x:v>
      </x:c>
      <x:c r="F89" s="92" t="str">
        <x:v>DC20</x:v>
      </x:c>
      <x:c r="G89" s="92" t="str">
        <x:v>铝合金压铸500T</x:v>
      </x:c>
      <x:c r="H89" s="92" t="str">
        <x:v>压铸工序</x:v>
      </x:c>
      <x:c r="I89" s="94" t="n">
        <x:v>1</x:v>
      </x:c>
      <x:c r="J89" s="92" t="str">
        <x:v>是</x:v>
      </x:c>
      <x:c r="K89" s="92" t="str">
        <x:v>行业典型路线</x:v>
      </x:c>
    </x:row>
    <x:row r="90">
      <x:c r="A90" s="92" t="str">
        <x:v>TPL-DIECAST</x:v>
      </x:c>
      <x:c r="B90" s="92" t="str">
        <x:v>金属件</x:v>
      </x:c>
      <x:c r="C90" s="92" t="str">
        <x:v>压铸件</x:v>
      </x:c>
      <x:c r="D90" s="92" t="str">
        <x:v>500T铝合金压铸、切边抛丸、机加工、清洗检验与包装。</x:v>
      </x:c>
      <x:c r="E90" s="93" t="n">
        <x:v>2</x:v>
      </x:c>
      <x:c r="F90" s="92" t="str">
        <x:v>DC60</x:v>
      </x:c>
      <x:c r="G90" s="92" t="str">
        <x:v>压铸件切边</x:v>
      </x:c>
      <x:c r="H90" s="92" t="str">
        <x:v>压铸工序</x:v>
      </x:c>
      <x:c r="I90" s="94" t="n">
        <x:v>1</x:v>
      </x:c>
      <x:c r="J90" s="92" t="str">
        <x:v>是</x:v>
      </x:c>
      <x:c r="K90" s="92" t="str"/>
    </x:row>
    <x:row r="91">
      <x:c r="A91" s="92" t="str">
        <x:v>TPL-DIECAST</x:v>
      </x:c>
      <x:c r="B91" s="92" t="str">
        <x:v>金属件</x:v>
      </x:c>
      <x:c r="C91" s="92" t="str">
        <x:v>压铸件</x:v>
      </x:c>
      <x:c r="D91" s="92" t="str">
        <x:v>500T铝合金压铸、切边抛丸、机加工、清洗检验与包装。</x:v>
      </x:c>
      <x:c r="E91" s="93" t="n">
        <x:v>3</x:v>
      </x:c>
      <x:c r="F91" s="92" t="str">
        <x:v>DC70</x:v>
      </x:c>
      <x:c r="G91" s="92" t="str">
        <x:v>压铸件抛丸</x:v>
      </x:c>
      <x:c r="H91" s="92" t="str">
        <x:v>压铸工序</x:v>
      </x:c>
      <x:c r="I91" s="94" t="n">
        <x:v>1</x:v>
      </x:c>
      <x:c r="J91" s="92" t="str">
        <x:v>是</x:v>
      </x:c>
      <x:c r="K91" s="92" t="str"/>
    </x:row>
    <x:row r="92">
      <x:c r="A92" s="92" t="str">
        <x:v>TPL-DIECAST</x:v>
      </x:c>
      <x:c r="B92" s="92" t="str">
        <x:v>金属件</x:v>
      </x:c>
      <x:c r="C92" s="92" t="str">
        <x:v>压铸件</x:v>
      </x:c>
      <x:c r="D92" s="92" t="str">
        <x:v>500T铝合金压铸、切边抛丸、机加工、清洗检验与包装。</x:v>
      </x:c>
      <x:c r="E92" s="93" t="n">
        <x:v>4</x:v>
      </x:c>
      <x:c r="F92" s="92" t="str">
        <x:v>CN50</x:v>
      </x:c>
      <x:c r="G92" s="92" t="str">
        <x:v>钻孔/攻丝</x:v>
      </x:c>
      <x:c r="H92" s="92" t="str">
        <x:v>CNC工序</x:v>
      </x:c>
      <x:c r="I92" s="94" t="n">
        <x:v>1</x:v>
      </x:c>
      <x:c r="J92" s="92" t="str">
        <x:v>否</x:v>
      </x:c>
      <x:c r="K92" s="92" t="str"/>
    </x:row>
    <x:row r="93">
      <x:c r="A93" s="92" t="str">
        <x:v>TPL-DIECAST</x:v>
      </x:c>
      <x:c r="B93" s="92" t="str">
        <x:v>金属件</x:v>
      </x:c>
      <x:c r="C93" s="92" t="str">
        <x:v>压铸件</x:v>
      </x:c>
      <x:c r="D93" s="92" t="str">
        <x:v>500T铝合金压铸、切边抛丸、机加工、清洗检验与包装。</x:v>
      </x:c>
      <x:c r="E93" s="93" t="n">
        <x:v>5</x:v>
      </x:c>
      <x:c r="F93" s="92" t="str">
        <x:v>CN70</x:v>
      </x:c>
      <x:c r="G93" s="92" t="str">
        <x:v>工业清洗</x:v>
      </x:c>
      <x:c r="H93" s="92" t="str">
        <x:v>CNC工序</x:v>
      </x:c>
      <x:c r="I93" s="94" t="n">
        <x:v>1</x:v>
      </x:c>
      <x:c r="J93" s="92" t="str">
        <x:v>是</x:v>
      </x:c>
      <x:c r="K93" s="92" t="str"/>
    </x:row>
    <x:row r="94">
      <x:c r="A94" s="92" t="str">
        <x:v>TPL-DIECAST</x:v>
      </x:c>
      <x:c r="B94" s="92" t="str">
        <x:v>金属件</x:v>
      </x:c>
      <x:c r="C94" s="92" t="str">
        <x:v>压铸件</x:v>
      </x:c>
      <x:c r="D94" s="92" t="str">
        <x:v>500T铝合金压铸、切边抛丸、机加工、清洗检验与包装。</x:v>
      </x:c>
      <x:c r="E94" s="93" t="n">
        <x:v>6</x:v>
      </x:c>
      <x:c r="F94" s="92" t="str">
        <x:v>QI10</x:v>
      </x:c>
      <x:c r="G94" s="92" t="str">
        <x:v>外观全检</x:v>
      </x:c>
      <x:c r="H94" s="92" t="str">
        <x:v>质检工序</x:v>
      </x:c>
      <x:c r="I94" s="94" t="n">
        <x:v>1</x:v>
      </x:c>
      <x:c r="J94" s="92" t="str">
        <x:v>是</x:v>
      </x:c>
      <x:c r="K94" s="92" t="str"/>
    </x:row>
    <x:row r="95">
      <x:c r="A95" s="92" t="str">
        <x:v>TPL-DIECAST</x:v>
      </x:c>
      <x:c r="B95" s="92" t="str">
        <x:v>金属件</x:v>
      </x:c>
      <x:c r="C95" s="92" t="str">
        <x:v>压铸件</x:v>
      </x:c>
      <x:c r="D95" s="92" t="str">
        <x:v>500T铝合金压铸、切边抛丸、机加工、清洗检验与包装。</x:v>
      </x:c>
      <x:c r="E95" s="93" t="n">
        <x:v>7</x:v>
      </x:c>
      <x:c r="F95" s="92" t="str">
        <x:v>QI20</x:v>
      </x:c>
      <x:c r="G95" s="92" t="str">
        <x:v>尺寸抽检</x:v>
      </x:c>
      <x:c r="H95" s="92" t="str">
        <x:v>质检工序</x:v>
      </x:c>
      <x:c r="I95" s="94" t="n">
        <x:v>1</x:v>
      </x:c>
      <x:c r="J95" s="92" t="str">
        <x:v>是</x:v>
      </x:c>
      <x:c r="K95" s="92" t="str"/>
    </x:row>
    <x:row r="96">
      <x:c r="A96" s="92" t="str">
        <x:v>TPL-DIECAST</x:v>
      </x:c>
      <x:c r="B96" s="92" t="str">
        <x:v>金属件</x:v>
      </x:c>
      <x:c r="C96" s="92" t="str">
        <x:v>压铸件</x:v>
      </x:c>
      <x:c r="D96" s="92" t="str">
        <x:v>500T铝合金压铸、切边抛丸、机加工、清洗检验与包装。</x:v>
      </x:c>
      <x:c r="E96" s="93" t="n">
        <x:v>8</x:v>
      </x:c>
      <x:c r="F96" s="92" t="str">
        <x:v>PR40</x:v>
      </x:c>
      <x:c r="G96" s="92" t="str">
        <x:v>激光打标</x:v>
      </x:c>
      <x:c r="H96" s="92" t="str">
        <x:v>蚀刻印刷工序</x:v>
      </x:c>
      <x:c r="I96" s="94" t="n">
        <x:v>1</x:v>
      </x:c>
      <x:c r="J96" s="92" t="str">
        <x:v>是</x:v>
      </x:c>
      <x:c r="K96" s="92" t="str"/>
    </x:row>
    <x:row r="97">
      <x:c r="A97" s="92" t="str">
        <x:v>TPL-DIECAST</x:v>
      </x:c>
      <x:c r="B97" s="92" t="str">
        <x:v>金属件</x:v>
      </x:c>
      <x:c r="C97" s="92" t="str">
        <x:v>压铸件</x:v>
      </x:c>
      <x:c r="D97" s="92" t="str">
        <x:v>500T铝合金压铸、切边抛丸、机加工、清洗检验与包装。</x:v>
      </x:c>
      <x:c r="E97" s="93" t="n">
        <x:v>9</x:v>
      </x:c>
      <x:c r="F97" s="92" t="str">
        <x:v>PK40</x:v>
      </x:c>
      <x:c r="G97" s="92" t="str">
        <x:v>装箱</x:v>
      </x:c>
      <x:c r="H97" s="92" t="str">
        <x:v>包装工序</x:v>
      </x:c>
      <x:c r="I97" s="94" t="n">
        <x:v>1</x:v>
      </x:c>
      <x:c r="J97" s="92" t="str">
        <x:v>是</x:v>
      </x:c>
      <x:c r="K97" s="92" t="str"/>
    </x:row>
    <x:row r="98">
      <x:c r="A98" s="92" t="str">
        <x:v>TPL-CNC</x:v>
      </x:c>
      <x:c r="B98" s="92" t="str">
        <x:v>金属件</x:v>
      </x:c>
      <x:c r="C98" s="92" t="str">
        <x:v>CNC机加工件</x:v>
      </x:c>
      <x:c r="D98" s="92" t="str">
        <x:v>三轴加工、钻攻、去毛刺清洗、尺寸外观、打标包装。</x:v>
      </x:c>
      <x:c r="E98" s="93" t="n">
        <x:v>1</x:v>
      </x:c>
      <x:c r="F98" s="92" t="str">
        <x:v>CN10</x:v>
      </x:c>
      <x:c r="G98" s="92" t="str">
        <x:v>三轴CNC加工</x:v>
      </x:c>
      <x:c r="H98" s="92" t="str">
        <x:v>CNC工序</x:v>
      </x:c>
      <x:c r="I98" s="94" t="n">
        <x:v>1</x:v>
      </x:c>
      <x:c r="J98" s="92" t="str">
        <x:v>是</x:v>
      </x:c>
      <x:c r="K98" s="92" t="str">
        <x:v>行业典型路线</x:v>
      </x:c>
    </x:row>
    <x:row r="99">
      <x:c r="A99" s="92" t="str">
        <x:v>TPL-CNC</x:v>
      </x:c>
      <x:c r="B99" s="92" t="str">
        <x:v>金属件</x:v>
      </x:c>
      <x:c r="C99" s="92" t="str">
        <x:v>CNC机加工件</x:v>
      </x:c>
      <x:c r="D99" s="92" t="str">
        <x:v>三轴加工、钻攻、去毛刺清洗、尺寸外观、打标包装。</x:v>
      </x:c>
      <x:c r="E99" s="93" t="n">
        <x:v>2</x:v>
      </x:c>
      <x:c r="F99" s="92" t="str">
        <x:v>CN50</x:v>
      </x:c>
      <x:c r="G99" s="92" t="str">
        <x:v>钻孔/攻丝</x:v>
      </x:c>
      <x:c r="H99" s="92" t="str">
        <x:v>CNC工序</x:v>
      </x:c>
      <x:c r="I99" s="94" t="n">
        <x:v>1</x:v>
      </x:c>
      <x:c r="J99" s="92" t="str">
        <x:v>是</x:v>
      </x:c>
      <x:c r="K99" s="92" t="str"/>
    </x:row>
    <x:row r="100">
      <x:c r="A100" s="92" t="str">
        <x:v>TPL-CNC</x:v>
      </x:c>
      <x:c r="B100" s="92" t="str">
        <x:v>金属件</x:v>
      </x:c>
      <x:c r="C100" s="92" t="str">
        <x:v>CNC机加工件</x:v>
      </x:c>
      <x:c r="D100" s="92" t="str">
        <x:v>三轴加工、钻攻、去毛刺清洗、尺寸外观、打标包装。</x:v>
      </x:c>
      <x:c r="E100" s="93" t="n">
        <x:v>3</x:v>
      </x:c>
      <x:c r="F100" s="92" t="str">
        <x:v>CN60</x:v>
      </x:c>
      <x:c r="G100" s="92" t="str">
        <x:v>机械去毛刺</x:v>
      </x:c>
      <x:c r="H100" s="92" t="str">
        <x:v>CNC工序</x:v>
      </x:c>
      <x:c r="I100" s="94" t="n">
        <x:v>1</x:v>
      </x:c>
      <x:c r="J100" s="92" t="str">
        <x:v>是</x:v>
      </x:c>
      <x:c r="K100" s="92" t="str"/>
    </x:row>
    <x:row r="101">
      <x:c r="A101" s="92" t="str">
        <x:v>TPL-CNC</x:v>
      </x:c>
      <x:c r="B101" s="92" t="str">
        <x:v>金属件</x:v>
      </x:c>
      <x:c r="C101" s="92" t="str">
        <x:v>CNC机加工件</x:v>
      </x:c>
      <x:c r="D101" s="92" t="str">
        <x:v>三轴加工、钻攻、去毛刺清洗、尺寸外观、打标包装。</x:v>
      </x:c>
      <x:c r="E101" s="93" t="n">
        <x:v>4</x:v>
      </x:c>
      <x:c r="F101" s="92" t="str">
        <x:v>CN70</x:v>
      </x:c>
      <x:c r="G101" s="92" t="str">
        <x:v>工业清洗</x:v>
      </x:c>
      <x:c r="H101" s="92" t="str">
        <x:v>CNC工序</x:v>
      </x:c>
      <x:c r="I101" s="94" t="n">
        <x:v>1</x:v>
      </x:c>
      <x:c r="J101" s="92" t="str">
        <x:v>是</x:v>
      </x:c>
      <x:c r="K101" s="92" t="str"/>
    </x:row>
    <x:row r="102">
      <x:c r="A102" s="92" t="str">
        <x:v>TPL-CNC</x:v>
      </x:c>
      <x:c r="B102" s="92" t="str">
        <x:v>金属件</x:v>
      </x:c>
      <x:c r="C102" s="92" t="str">
        <x:v>CNC机加工件</x:v>
      </x:c>
      <x:c r="D102" s="92" t="str">
        <x:v>三轴加工、钻攻、去毛刺清洗、尺寸外观、打标包装。</x:v>
      </x:c>
      <x:c r="E102" s="93" t="n">
        <x:v>5</x:v>
      </x:c>
      <x:c r="F102" s="92" t="str">
        <x:v>QI10</x:v>
      </x:c>
      <x:c r="G102" s="92" t="str">
        <x:v>外观全检</x:v>
      </x:c>
      <x:c r="H102" s="92" t="str">
        <x:v>质检工序</x:v>
      </x:c>
      <x:c r="I102" s="94" t="n">
        <x:v>1</x:v>
      </x:c>
      <x:c r="J102" s="92" t="str">
        <x:v>是</x:v>
      </x:c>
      <x:c r="K102" s="92" t="str"/>
    </x:row>
    <x:row r="103">
      <x:c r="A103" s="92" t="str">
        <x:v>TPL-CNC</x:v>
      </x:c>
      <x:c r="B103" s="92" t="str">
        <x:v>金属件</x:v>
      </x:c>
      <x:c r="C103" s="92" t="str">
        <x:v>CNC机加工件</x:v>
      </x:c>
      <x:c r="D103" s="92" t="str">
        <x:v>三轴加工、钻攻、去毛刺清洗、尺寸外观、打标包装。</x:v>
      </x:c>
      <x:c r="E103" s="93" t="n">
        <x:v>6</x:v>
      </x:c>
      <x:c r="F103" s="92" t="str">
        <x:v>QI20</x:v>
      </x:c>
      <x:c r="G103" s="92" t="str">
        <x:v>尺寸抽检</x:v>
      </x:c>
      <x:c r="H103" s="92" t="str">
        <x:v>质检工序</x:v>
      </x:c>
      <x:c r="I103" s="94" t="n">
        <x:v>1</x:v>
      </x:c>
      <x:c r="J103" s="92" t="str">
        <x:v>是</x:v>
      </x:c>
      <x:c r="K103" s="92" t="str"/>
    </x:row>
    <x:row r="104">
      <x:c r="A104" s="92" t="str">
        <x:v>TPL-CNC</x:v>
      </x:c>
      <x:c r="B104" s="92" t="str">
        <x:v>金属件</x:v>
      </x:c>
      <x:c r="C104" s="92" t="str">
        <x:v>CNC机加工件</x:v>
      </x:c>
      <x:c r="D104" s="92" t="str">
        <x:v>三轴加工、钻攻、去毛刺清洗、尺寸外观、打标包装。</x:v>
      </x:c>
      <x:c r="E104" s="93" t="n">
        <x:v>7</x:v>
      </x:c>
      <x:c r="F104" s="92" t="str">
        <x:v>PR40</x:v>
      </x:c>
      <x:c r="G104" s="92" t="str">
        <x:v>激光打标</x:v>
      </x:c>
      <x:c r="H104" s="92" t="str">
        <x:v>蚀刻印刷工序</x:v>
      </x:c>
      <x:c r="I104" s="94" t="n">
        <x:v>1</x:v>
      </x:c>
      <x:c r="J104" s="92" t="str">
        <x:v>是</x:v>
      </x:c>
      <x:c r="K104" s="92" t="str"/>
    </x:row>
    <x:row r="105">
      <x:c r="A105" s="92" t="str">
        <x:v>TPL-CNC</x:v>
      </x:c>
      <x:c r="B105" s="92" t="str">
        <x:v>金属件</x:v>
      </x:c>
      <x:c r="C105" s="92" t="str">
        <x:v>CNC机加工件</x:v>
      </x:c>
      <x:c r="D105" s="92" t="str">
        <x:v>三轴加工、钻攻、去毛刺清洗、尺寸外观、打标包装。</x:v>
      </x:c>
      <x:c r="E105" s="93" t="n">
        <x:v>8</x:v>
      </x:c>
      <x:c r="F105" s="92" t="str">
        <x:v>PK10</x:v>
      </x:c>
      <x:c r="G105" s="92" t="str">
        <x:v>人工装袋</x:v>
      </x:c>
      <x:c r="H105" s="92" t="str">
        <x:v>包装工序</x:v>
      </x:c>
      <x:c r="I105" s="94" t="n">
        <x:v>1</x:v>
      </x:c>
      <x:c r="J105" s="92" t="str">
        <x:v>是</x:v>
      </x:c>
      <x:c r="K105" s="92" t="str"/>
    </x:row>
    <x:row r="106">
      <x:c r="A106" s="92" t="str">
        <x:v>TPL-CNC</x:v>
      </x:c>
      <x:c r="B106" s="92" t="str">
        <x:v>金属件</x:v>
      </x:c>
      <x:c r="C106" s="92" t="str">
        <x:v>CNC机加工件</x:v>
      </x:c>
      <x:c r="D106" s="92" t="str">
        <x:v>三轴加工、钻攻、去毛刺清洗、尺寸外观、打标包装。</x:v>
      </x:c>
      <x:c r="E106" s="93" t="n">
        <x:v>9</x:v>
      </x:c>
      <x:c r="F106" s="92" t="str">
        <x:v>PK40</x:v>
      </x:c>
      <x:c r="G106" s="92" t="str">
        <x:v>装箱</x:v>
      </x:c>
      <x:c r="H106" s="92" t="str">
        <x:v>包装工序</x:v>
      </x:c>
      <x:c r="I106" s="94" t="n">
        <x:v>1</x:v>
      </x:c>
      <x:c r="J106" s="92" t="str">
        <x:v>是</x:v>
      </x:c>
      <x:c r="K106" s="92" t="str"/>
    </x:row>
    <x:row r="107">
      <x:c r="A107" s="92" t="str">
        <x:v>TPL-WELD</x:v>
      </x:c>
      <x:c r="B107" s="92" t="str">
        <x:v>总成件</x:v>
      </x:c>
      <x:c r="C107" s="92" t="str">
        <x:v>钣金焊接总成</x:v>
      </x:c>
      <x:c r="D107" s="92" t="str">
        <x:v>激光切割、折弯、装配定位、MIG/TIG焊、焊后处理、检验与包装。</x:v>
      </x:c>
      <x:c r="E107" s="93" t="n">
        <x:v>1</x:v>
      </x:c>
      <x:c r="F107" s="92" t="str">
        <x:v>SM10</x:v>
      </x:c>
      <x:c r="G107" s="92" t="str">
        <x:v>光纤激光切割</x:v>
      </x:c>
      <x:c r="H107" s="92" t="str">
        <x:v>钣金加工工艺</x:v>
      </x:c>
      <x:c r="I107" s="94" t="n">
        <x:v>1</x:v>
      </x:c>
      <x:c r="J107" s="92" t="str">
        <x:v>是</x:v>
      </x:c>
      <x:c r="K107" s="92" t="str">
        <x:v>行业典型路线</x:v>
      </x:c>
    </x:row>
    <x:row r="108">
      <x:c r="A108" s="92" t="str">
        <x:v>TPL-WELD</x:v>
      </x:c>
      <x:c r="B108" s="92" t="str">
        <x:v>总成件</x:v>
      </x:c>
      <x:c r="C108" s="92" t="str">
        <x:v>钣金焊接总成</x:v>
      </x:c>
      <x:c r="D108" s="92" t="str">
        <x:v>激光切割、折弯、装配定位、MIG/TIG焊、焊后处理、检验与包装。</x:v>
      </x:c>
      <x:c r="E108" s="93" t="n">
        <x:v>2</x:v>
      </x:c>
      <x:c r="F108" s="92" t="str">
        <x:v>SM30</x:v>
      </x:c>
      <x:c r="G108" s="92" t="str">
        <x:v>数控折弯</x:v>
      </x:c>
      <x:c r="H108" s="92" t="str">
        <x:v>钣金加工工艺</x:v>
      </x:c>
      <x:c r="I108" s="94" t="n">
        <x:v>1</x:v>
      </x:c>
      <x:c r="J108" s="92" t="str">
        <x:v>是</x:v>
      </x:c>
      <x:c r="K108" s="92" t="str"/>
    </x:row>
    <x:row r="109">
      <x:c r="A109" s="92" t="str">
        <x:v>TPL-WELD</x:v>
      </x:c>
      <x:c r="B109" s="92" t="str">
        <x:v>总成件</x:v>
      </x:c>
      <x:c r="C109" s="92" t="str">
        <x:v>钣金焊接总成</x:v>
      </x:c>
      <x:c r="D109" s="92" t="str">
        <x:v>激光切割、折弯、装配定位、MIG/TIG焊、焊后处理、检验与包装。</x:v>
      </x:c>
      <x:c r="E109" s="93" t="n">
        <x:v>3</x:v>
      </x:c>
      <x:c r="F109" s="92" t="str">
        <x:v>MA10</x:v>
      </x:c>
      <x:c r="G109" s="92" t="str">
        <x:v>人工装配</x:v>
      </x:c>
      <x:c r="H109" s="92" t="str">
        <x:v>人工工序</x:v>
      </x:c>
      <x:c r="I109" s="94" t="n">
        <x:v>1</x:v>
      </x:c>
      <x:c r="J109" s="92" t="str">
        <x:v>是</x:v>
      </x:c>
      <x:c r="K109" s="92" t="str"/>
    </x:row>
    <x:row r="110">
      <x:c r="A110" s="92" t="str">
        <x:v>TPL-WELD</x:v>
      </x:c>
      <x:c r="B110" s="92" t="str">
        <x:v>总成件</x:v>
      </x:c>
      <x:c r="C110" s="92" t="str">
        <x:v>钣金焊接总成</x:v>
      </x:c>
      <x:c r="D110" s="92" t="str">
        <x:v>激光切割、折弯、装配定位、MIG/TIG焊、焊后处理、检验与包装。</x:v>
      </x:c>
      <x:c r="E110" s="93" t="n">
        <x:v>4</x:v>
      </x:c>
      <x:c r="F110" s="92" t="str">
        <x:v>WE40</x:v>
      </x:c>
      <x:c r="G110" s="92" t="str">
        <x:v>MIG焊</x:v>
      </x:c>
      <x:c r="H110" s="92" t="str">
        <x:v>焊接工序</x:v>
      </x:c>
      <x:c r="I110" s="94" t="n">
        <x:v>1</x:v>
      </x:c>
      <x:c r="J110" s="92" t="str">
        <x:v>是</x:v>
      </x:c>
      <x:c r="K110" s="92" t="str"/>
    </x:row>
    <x:row r="111">
      <x:c r="A111" s="92" t="str">
        <x:v>TPL-WELD</x:v>
      </x:c>
      <x:c r="B111" s="92" t="str">
        <x:v>总成件</x:v>
      </x:c>
      <x:c r="C111" s="92" t="str">
        <x:v>钣金焊接总成</x:v>
      </x:c>
      <x:c r="D111" s="92" t="str">
        <x:v>激光切割、折弯、装配定位、MIG/TIG焊、焊后处理、检验与包装。</x:v>
      </x:c>
      <x:c r="E111" s="93" t="n">
        <x:v>5</x:v>
      </x:c>
      <x:c r="F111" s="92" t="str">
        <x:v>WE50</x:v>
      </x:c>
      <x:c r="G111" s="92" t="str">
        <x:v>TIG焊</x:v>
      </x:c>
      <x:c r="H111" s="92" t="str">
        <x:v>焊接工序</x:v>
      </x:c>
      <x:c r="I111" s="94" t="n">
        <x:v>1</x:v>
      </x:c>
      <x:c r="J111" s="92" t="str">
        <x:v>否</x:v>
      </x:c>
      <x:c r="K111" s="92" t="str"/>
    </x:row>
    <x:row r="112">
      <x:c r="A112" s="92" t="str">
        <x:v>TPL-WELD</x:v>
      </x:c>
      <x:c r="B112" s="92" t="str">
        <x:v>总成件</x:v>
      </x:c>
      <x:c r="C112" s="92" t="str">
        <x:v>钣金焊接总成</x:v>
      </x:c>
      <x:c r="D112" s="92" t="str">
        <x:v>激光切割、折弯、装配定位、MIG/TIG焊、焊后处理、检验与包装。</x:v>
      </x:c>
      <x:c r="E112" s="93" t="n">
        <x:v>6</x:v>
      </x:c>
      <x:c r="F112" s="92" t="str">
        <x:v>PF30</x:v>
      </x:c>
      <x:c r="G112" s="92" t="str">
        <x:v>喷砂</x:v>
      </x:c>
      <x:c r="H112" s="92" t="str">
        <x:v>后处理</x:v>
      </x:c>
      <x:c r="I112" s="94" t="n">
        <x:v>1</x:v>
      </x:c>
      <x:c r="J112" s="92" t="str">
        <x:v>否</x:v>
      </x:c>
      <x:c r="K112" s="92" t="str"/>
    </x:row>
    <x:row r="113">
      <x:c r="A113" s="92" t="str">
        <x:v>TPL-WELD</x:v>
      </x:c>
      <x:c r="B113" s="92" t="str">
        <x:v>总成件</x:v>
      </x:c>
      <x:c r="C113" s="92" t="str">
        <x:v>钣金焊接总成</x:v>
      </x:c>
      <x:c r="D113" s="92" t="str">
        <x:v>激光切割、折弯、装配定位、MIG/TIG焊、焊后处理、检验与包装。</x:v>
      </x:c>
      <x:c r="E113" s="93" t="n">
        <x:v>7</x:v>
      </x:c>
      <x:c r="F113" s="92" t="str">
        <x:v>QI10</x:v>
      </x:c>
      <x:c r="G113" s="92" t="str">
        <x:v>外观全检</x:v>
      </x:c>
      <x:c r="H113" s="92" t="str">
        <x:v>质检工序</x:v>
      </x:c>
      <x:c r="I113" s="94" t="n">
        <x:v>1</x:v>
      </x:c>
      <x:c r="J113" s="92" t="str">
        <x:v>是</x:v>
      </x:c>
      <x:c r="K113" s="92" t="str"/>
    </x:row>
    <x:row r="114">
      <x:c r="A114" s="92" t="str">
        <x:v>TPL-WELD</x:v>
      </x:c>
      <x:c r="B114" s="92" t="str">
        <x:v>总成件</x:v>
      </x:c>
      <x:c r="C114" s="92" t="str">
        <x:v>钣金焊接总成</x:v>
      </x:c>
      <x:c r="D114" s="92" t="str">
        <x:v>激光切割、折弯、装配定位、MIG/TIG焊、焊后处理、检验与包装。</x:v>
      </x:c>
      <x:c r="E114" s="93" t="n">
        <x:v>8</x:v>
      </x:c>
      <x:c r="F114" s="92" t="str">
        <x:v>QI20</x:v>
      </x:c>
      <x:c r="G114" s="92" t="str">
        <x:v>尺寸抽检</x:v>
      </x:c>
      <x:c r="H114" s="92" t="str">
        <x:v>质检工序</x:v>
      </x:c>
      <x:c r="I114" s="94" t="n">
        <x:v>1</x:v>
      </x:c>
      <x:c r="J114" s="92" t="str">
        <x:v>是</x:v>
      </x:c>
      <x:c r="K114" s="92" t="str"/>
    </x:row>
    <x:row r="115">
      <x:c r="A115" s="92" t="str">
        <x:v>TPL-WELD</x:v>
      </x:c>
      <x:c r="B115" s="92" t="str">
        <x:v>总成件</x:v>
      </x:c>
      <x:c r="C115" s="92" t="str">
        <x:v>钣金焊接总成</x:v>
      </x:c>
      <x:c r="D115" s="92" t="str">
        <x:v>激光切割、折弯、装配定位、MIG/TIG焊、焊后处理、检验与包装。</x:v>
      </x:c>
      <x:c r="E115" s="93" t="n">
        <x:v>9</x:v>
      </x:c>
      <x:c r="F115" s="92" t="str">
        <x:v>PK40</x:v>
      </x:c>
      <x:c r="G115" s="92" t="str">
        <x:v>装箱</x:v>
      </x:c>
      <x:c r="H115" s="92" t="str">
        <x:v>包装工序</x:v>
      </x:c>
      <x:c r="I115" s="94" t="n">
        <x:v>1</x:v>
      </x:c>
      <x:c r="J115" s="92" t="str">
        <x:v>是</x:v>
      </x:c>
      <x:c r="K115" s="92" t="str"/>
    </x:row>
    <x:row r="116">
      <x:c r="A116" s="92" t="str">
        <x:v>TPL-PLATING</x:v>
      </x:c>
      <x:c r="B116" s="92" t="str">
        <x:v>表面处理</x:v>
      </x:c>
      <x:c r="C116" s="92" t="str">
        <x:v>电镀件（镀镍示例）</x:v>
      </x:c>
      <x:c r="D116" s="92" t="str">
        <x:v>前处理清洗、镀镍、清洗干燥、外观尺寸与包装。</x:v>
      </x:c>
      <x:c r="E116" s="93" t="n">
        <x:v>1</x:v>
      </x:c>
      <x:c r="F116" s="92" t="str">
        <x:v>PF60</x:v>
      </x:c>
      <x:c r="G116" s="92" t="str">
        <x:v>超声波清洗</x:v>
      </x:c>
      <x:c r="H116" s="92" t="str">
        <x:v>后处理</x:v>
      </x:c>
      <x:c r="I116" s="94" t="n">
        <x:v>1</x:v>
      </x:c>
      <x:c r="J116" s="92" t="str">
        <x:v>是</x:v>
      </x:c>
      <x:c r="K116" s="92" t="str">
        <x:v>行业典型路线</x:v>
      </x:c>
    </x:row>
    <x:row r="117">
      <x:c r="A117" s="92" t="str">
        <x:v>TPL-PLATING</x:v>
      </x:c>
      <x:c r="B117" s="92" t="str">
        <x:v>表面处理</x:v>
      </x:c>
      <x:c r="C117" s="92" t="str">
        <x:v>电镀件（镀镍示例）</x:v>
      </x:c>
      <x:c r="D117" s="92" t="str">
        <x:v>前处理清洗、镀镍、清洗干燥、外观尺寸与包装。</x:v>
      </x:c>
      <x:c r="E117" s="93" t="n">
        <x:v>2</x:v>
      </x:c>
      <x:c r="F117" s="92" t="str">
        <x:v>PL20</x:v>
      </x:c>
      <x:c r="G117" s="92" t="str">
        <x:v>镀镍</x:v>
      </x:c>
      <x:c r="H117" s="92" t="str">
        <x:v>电镀工序</x:v>
      </x:c>
      <x:c r="I117" s="94" t="n">
        <x:v>1</x:v>
      </x:c>
      <x:c r="J117" s="92" t="str">
        <x:v>是</x:v>
      </x:c>
      <x:c r="K117" s="92" t="str"/>
    </x:row>
    <x:row r="118">
      <x:c r="A118" s="92" t="str">
        <x:v>TPL-PLATING</x:v>
      </x:c>
      <x:c r="B118" s="92" t="str">
        <x:v>表面处理</x:v>
      </x:c>
      <x:c r="C118" s="92" t="str">
        <x:v>电镀件（镀镍示例）</x:v>
      </x:c>
      <x:c r="D118" s="92" t="str">
        <x:v>前处理清洗、镀镍、清洗干燥、外观尺寸与包装。</x:v>
      </x:c>
      <x:c r="E118" s="93" t="n">
        <x:v>3</x:v>
      </x:c>
      <x:c r="F118" s="92" t="str">
        <x:v>QI10</x:v>
      </x:c>
      <x:c r="G118" s="92" t="str">
        <x:v>外观全检</x:v>
      </x:c>
      <x:c r="H118" s="92" t="str">
        <x:v>质检工序</x:v>
      </x:c>
      <x:c r="I118" s="94" t="n">
        <x:v>1</x:v>
      </x:c>
      <x:c r="J118" s="92" t="str">
        <x:v>是</x:v>
      </x:c>
      <x:c r="K118" s="92" t="str"/>
    </x:row>
    <x:row r="119">
      <x:c r="A119" s="92" t="str">
        <x:v>TPL-PLATING</x:v>
      </x:c>
      <x:c r="B119" s="92" t="str">
        <x:v>表面处理</x:v>
      </x:c>
      <x:c r="C119" s="92" t="str">
        <x:v>电镀件（镀镍示例）</x:v>
      </x:c>
      <x:c r="D119" s="92" t="str">
        <x:v>前处理清洗、镀镍、清洗干燥、外观尺寸与包装。</x:v>
      </x:c>
      <x:c r="E119" s="93" t="n">
        <x:v>4</x:v>
      </x:c>
      <x:c r="F119" s="92" t="str">
        <x:v>QI20</x:v>
      </x:c>
      <x:c r="G119" s="92" t="str">
        <x:v>尺寸抽检</x:v>
      </x:c>
      <x:c r="H119" s="92" t="str">
        <x:v>质检工序</x:v>
      </x:c>
      <x:c r="I119" s="94" t="n">
        <x:v>1</x:v>
      </x:c>
      <x:c r="J119" s="92" t="str">
        <x:v>是</x:v>
      </x:c>
      <x:c r="K119" s="92" t="str"/>
    </x:row>
    <x:row r="120">
      <x:c r="A120" s="92" t="str">
        <x:v>TPL-PLATING</x:v>
      </x:c>
      <x:c r="B120" s="92" t="str">
        <x:v>表面处理</x:v>
      </x:c>
      <x:c r="C120" s="92" t="str">
        <x:v>电镀件（镀镍示例）</x:v>
      </x:c>
      <x:c r="D120" s="92" t="str">
        <x:v>前处理清洗、镀镍、清洗干燥、外观尺寸与包装。</x:v>
      </x:c>
      <x:c r="E120" s="93" t="n">
        <x:v>5</x:v>
      </x:c>
      <x:c r="F120" s="92" t="str">
        <x:v>PK10</x:v>
      </x:c>
      <x:c r="G120" s="92" t="str">
        <x:v>人工装袋</x:v>
      </x:c>
      <x:c r="H120" s="92" t="str">
        <x:v>包装工序</x:v>
      </x:c>
      <x:c r="I120" s="94" t="n">
        <x:v>1</x:v>
      </x:c>
      <x:c r="J120" s="92" t="str">
        <x:v>是</x:v>
      </x:c>
      <x:c r="K120" s="92" t="str"/>
    </x:row>
    <x:row r="121">
      <x:c r="A121" s="92" t="str">
        <x:v>TPL-PLATING</x:v>
      </x:c>
      <x:c r="B121" s="92" t="str">
        <x:v>表面处理</x:v>
      </x:c>
      <x:c r="C121" s="92" t="str">
        <x:v>电镀件（镀镍示例）</x:v>
      </x:c>
      <x:c r="D121" s="92" t="str">
        <x:v>前处理清洗、镀镍、清洗干燥、外观尺寸与包装。</x:v>
      </x:c>
      <x:c r="E121" s="93" t="n">
        <x:v>6</x:v>
      </x:c>
      <x:c r="F121" s="92" t="str">
        <x:v>PK40</x:v>
      </x:c>
      <x:c r="G121" s="92" t="str">
        <x:v>装箱</x:v>
      </x:c>
      <x:c r="H121" s="92" t="str">
        <x:v>包装工序</x:v>
      </x:c>
      <x:c r="I121" s="94" t="n">
        <x:v>1</x:v>
      </x:c>
      <x:c r="J121" s="92" t="str">
        <x:v>是</x:v>
      </x:c>
      <x:c r="K121" s="92" t="str"/>
    </x:row>
    <x:row r="122">
      <x:c r="A122" s="92" t="str">
        <x:v>TPL-RIVET</x:v>
      </x:c>
      <x:c r="B122" s="92" t="str">
        <x:v>总成件</x:v>
      </x:c>
      <x:c r="C122" s="92" t="str">
        <x:v>铆接总成</x:v>
      </x:c>
      <x:c r="D122" s="92" t="str">
        <x:v>零件装配定位、自冲/径向铆接、检验、追溯和包装。</x:v>
      </x:c>
      <x:c r="E122" s="93" t="n">
        <x:v>1</x:v>
      </x:c>
      <x:c r="F122" s="92" t="str">
        <x:v>MA10</x:v>
      </x:c>
      <x:c r="G122" s="92" t="str">
        <x:v>人工装配</x:v>
      </x:c>
      <x:c r="H122" s="92" t="str">
        <x:v>人工工序</x:v>
      </x:c>
      <x:c r="I122" s="94" t="n">
        <x:v>1</x:v>
      </x:c>
      <x:c r="J122" s="92" t="str">
        <x:v>是</x:v>
      </x:c>
      <x:c r="K122" s="92" t="str">
        <x:v>行业典型路线</x:v>
      </x:c>
    </x:row>
    <x:row r="123">
      <x:c r="A123" s="92" t="str">
        <x:v>TPL-RIVET</x:v>
      </x:c>
      <x:c r="B123" s="92" t="str">
        <x:v>总成件</x:v>
      </x:c>
      <x:c r="C123" s="92" t="str">
        <x:v>铆接总成</x:v>
      </x:c>
      <x:c r="D123" s="92" t="str">
        <x:v>零件装配定位、自冲/径向铆接、检验、追溯和包装。</x:v>
      </x:c>
      <x:c r="E123" s="93" t="n">
        <x:v>2</x:v>
      </x:c>
      <x:c r="F123" s="92" t="str">
        <x:v>RI20</x:v>
      </x:c>
      <x:c r="G123" s="92" t="str">
        <x:v>自冲铆接SPR</x:v>
      </x:c>
      <x:c r="H123" s="92" t="str">
        <x:v>铆接工序</x:v>
      </x:c>
      <x:c r="I123" s="94" t="n">
        <x:v>1</x:v>
      </x:c>
      <x:c r="J123" s="92" t="str">
        <x:v>是</x:v>
      </x:c>
      <x:c r="K123" s="92" t="str"/>
    </x:row>
    <x:row r="124">
      <x:c r="A124" s="92" t="str">
        <x:v>TPL-RIVET</x:v>
      </x:c>
      <x:c r="B124" s="92" t="str">
        <x:v>总成件</x:v>
      </x:c>
      <x:c r="C124" s="92" t="str">
        <x:v>铆接总成</x:v>
      </x:c>
      <x:c r="D124" s="92" t="str">
        <x:v>零件装配定位、自冲/径向铆接、检验、追溯和包装。</x:v>
      </x:c>
      <x:c r="E124" s="93" t="n">
        <x:v>3</x:v>
      </x:c>
      <x:c r="F124" s="92" t="str">
        <x:v>RI30</x:v>
      </x:c>
      <x:c r="G124" s="92" t="str">
        <x:v>径向铆接</x:v>
      </x:c>
      <x:c r="H124" s="92" t="str">
        <x:v>铆接工序</x:v>
      </x:c>
      <x:c r="I124" s="94" t="n">
        <x:v>1</x:v>
      </x:c>
      <x:c r="J124" s="92" t="str">
        <x:v>否</x:v>
      </x:c>
      <x:c r="K124" s="92" t="str"/>
    </x:row>
    <x:row r="125">
      <x:c r="A125" s="92" t="str">
        <x:v>TPL-RIVET</x:v>
      </x:c>
      <x:c r="B125" s="92" t="str">
        <x:v>总成件</x:v>
      </x:c>
      <x:c r="C125" s="92" t="str">
        <x:v>铆接总成</x:v>
      </x:c>
      <x:c r="D125" s="92" t="str">
        <x:v>零件装配定位、自冲/径向铆接、检验、追溯和包装。</x:v>
      </x:c>
      <x:c r="E125" s="93" t="n">
        <x:v>4</x:v>
      </x:c>
      <x:c r="F125" s="92" t="str">
        <x:v>QI10</x:v>
      </x:c>
      <x:c r="G125" s="92" t="str">
        <x:v>外观全检</x:v>
      </x:c>
      <x:c r="H125" s="92" t="str">
        <x:v>质检工序</x:v>
      </x:c>
      <x:c r="I125" s="94" t="n">
        <x:v>1</x:v>
      </x:c>
      <x:c r="J125" s="92" t="str">
        <x:v>是</x:v>
      </x:c>
      <x:c r="K125" s="92" t="str"/>
    </x:row>
    <x:row r="126">
      <x:c r="A126" s="92" t="str">
        <x:v>TPL-RIVET</x:v>
      </x:c>
      <x:c r="B126" s="92" t="str">
        <x:v>总成件</x:v>
      </x:c>
      <x:c r="C126" s="92" t="str">
        <x:v>铆接总成</x:v>
      </x:c>
      <x:c r="D126" s="92" t="str">
        <x:v>零件装配定位、自冲/径向铆接、检验、追溯和包装。</x:v>
      </x:c>
      <x:c r="E126" s="93" t="n">
        <x:v>5</x:v>
      </x:c>
      <x:c r="F126" s="92" t="str">
        <x:v>QI20</x:v>
      </x:c>
      <x:c r="G126" s="92" t="str">
        <x:v>尺寸抽检</x:v>
      </x:c>
      <x:c r="H126" s="92" t="str">
        <x:v>质检工序</x:v>
      </x:c>
      <x:c r="I126" s="94" t="n">
        <x:v>1</x:v>
      </x:c>
      <x:c r="J126" s="92" t="str">
        <x:v>是</x:v>
      </x:c>
      <x:c r="K126" s="92" t="str"/>
    </x:row>
    <x:row r="127">
      <x:c r="A127" s="92" t="str">
        <x:v>TPL-RIVET</x:v>
      </x:c>
      <x:c r="B127" s="92" t="str">
        <x:v>总成件</x:v>
      </x:c>
      <x:c r="C127" s="92" t="str">
        <x:v>铆接总成</x:v>
      </x:c>
      <x:c r="D127" s="92" t="str">
        <x:v>零件装配定位、自冲/径向铆接、检验、追溯和包装。</x:v>
      </x:c>
      <x:c r="E127" s="93" t="n">
        <x:v>6</x:v>
      </x:c>
      <x:c r="F127" s="92" t="str">
        <x:v>PR40</x:v>
      </x:c>
      <x:c r="G127" s="92" t="str">
        <x:v>激光打标</x:v>
      </x:c>
      <x:c r="H127" s="92" t="str">
        <x:v>蚀刻印刷工序</x:v>
      </x:c>
      <x:c r="I127" s="94" t="n">
        <x:v>1</x:v>
      </x:c>
      <x:c r="J127" s="92" t="str">
        <x:v>是</x:v>
      </x:c>
      <x:c r="K127" s="92" t="str"/>
    </x:row>
    <x:row r="128">
      <x:c r="A128" s="92" t="str">
        <x:v>TPL-RIVET</x:v>
      </x:c>
      <x:c r="B128" s="92" t="str">
        <x:v>总成件</x:v>
      </x:c>
      <x:c r="C128" s="92" t="str">
        <x:v>铆接总成</x:v>
      </x:c>
      <x:c r="D128" s="92" t="str">
        <x:v>零件装配定位、自冲/径向铆接、检验、追溯和包装。</x:v>
      </x:c>
      <x:c r="E128" s="93" t="n">
        <x:v>7</x:v>
      </x:c>
      <x:c r="F128" s="92" t="str">
        <x:v>PK40</x:v>
      </x:c>
      <x:c r="G128" s="92" t="str">
        <x:v>装箱</x:v>
      </x:c>
      <x:c r="H128" s="92" t="str">
        <x:v>包装工序</x:v>
      </x:c>
      <x:c r="I128" s="94" t="n">
        <x:v>1</x:v>
      </x:c>
      <x:c r="J128" s="92" t="str">
        <x:v>是</x:v>
      </x:c>
      <x:c r="K128" s="92" t="str"/>
    </x:row>
    <x:row r="129">
      <x:c r="A129" s="92" t="str">
        <x:v>TPL-EXTRUSION</x:v>
      </x:c>
      <x:c r="B129" s="92" t="str">
        <x:v>金属件</x:v>
      </x:c>
      <x:c r="C129" s="92" t="str">
        <x:v>铝挤型材</x:v>
      </x:c>
      <x:c r="D129" s="92" t="str">
        <x:v>挤压、时效、矫直、定尺、钻攻、清洗检验和包装。</x:v>
      </x:c>
      <x:c r="E129" s="93" t="n">
        <x:v>1</x:v>
      </x:c>
      <x:c r="F129" s="92" t="str">
        <x:v>EX20</x:v>
      </x:c>
      <x:c r="G129" s="92" t="str">
        <x:v>铝挤压1200T</x:v>
      </x:c>
      <x:c r="H129" s="92" t="str">
        <x:v>铝挤工序</x:v>
      </x:c>
      <x:c r="I129" s="94" t="n">
        <x:v>1</x:v>
      </x:c>
      <x:c r="J129" s="92" t="str">
        <x:v>是</x:v>
      </x:c>
      <x:c r="K129" s="92" t="str">
        <x:v>行业典型路线</x:v>
      </x:c>
    </x:row>
    <x:row r="130">
      <x:c r="A130" s="92" t="str">
        <x:v>TPL-EXTRUSION</x:v>
      </x:c>
      <x:c r="B130" s="92" t="str">
        <x:v>金属件</x:v>
      </x:c>
      <x:c r="C130" s="92" t="str">
        <x:v>铝挤型材</x:v>
      </x:c>
      <x:c r="D130" s="92" t="str">
        <x:v>挤压、时效、矫直、定尺、钻攻、清洗检验和包装。</x:v>
      </x:c>
      <x:c r="E130" s="93" t="n">
        <x:v>2</x:v>
      </x:c>
      <x:c r="F130" s="92" t="str">
        <x:v>EX40</x:v>
      </x:c>
      <x:c r="G130" s="92" t="str">
        <x:v>时效炉</x:v>
      </x:c>
      <x:c r="H130" s="92" t="str">
        <x:v>铝挤工序</x:v>
      </x:c>
      <x:c r="I130" s="94" t="n">
        <x:v>1</x:v>
      </x:c>
      <x:c r="J130" s="92" t="str">
        <x:v>是</x:v>
      </x:c>
      <x:c r="K130" s="92" t="str"/>
    </x:row>
    <x:row r="131">
      <x:c r="A131" s="92" t="str">
        <x:v>TPL-EXTRUSION</x:v>
      </x:c>
      <x:c r="B131" s="92" t="str">
        <x:v>金属件</x:v>
      </x:c>
      <x:c r="C131" s="92" t="str">
        <x:v>铝挤型材</x:v>
      </x:c>
      <x:c r="D131" s="92" t="str">
        <x:v>挤压、时效、矫直、定尺、钻攻、清洗检验和包装。</x:v>
      </x:c>
      <x:c r="E131" s="93" t="n">
        <x:v>3</x:v>
      </x:c>
      <x:c r="F131" s="92" t="str">
        <x:v>EX50</x:v>
      </x:c>
      <x:c r="G131" s="92" t="str">
        <x:v>矫直</x:v>
      </x:c>
      <x:c r="H131" s="92" t="str">
        <x:v>铝挤工序</x:v>
      </x:c>
      <x:c r="I131" s="94" t="n">
        <x:v>1</x:v>
      </x:c>
      <x:c r="J131" s="92" t="str">
        <x:v>是</x:v>
      </x:c>
      <x:c r="K131" s="92" t="str"/>
    </x:row>
    <x:row r="132">
      <x:c r="A132" s="92" t="str">
        <x:v>TPL-EXTRUSION</x:v>
      </x:c>
      <x:c r="B132" s="92" t="str">
        <x:v>金属件</x:v>
      </x:c>
      <x:c r="C132" s="92" t="str">
        <x:v>铝挤型材</x:v>
      </x:c>
      <x:c r="D132" s="92" t="str">
        <x:v>挤压、时效、矫直、定尺、钻攻、清洗检验和包装。</x:v>
      </x:c>
      <x:c r="E132" s="93" t="n">
        <x:v>4</x:v>
      </x:c>
      <x:c r="F132" s="92" t="str">
        <x:v>EX60</x:v>
      </x:c>
      <x:c r="G132" s="92" t="str">
        <x:v>定尺锯切</x:v>
      </x:c>
      <x:c r="H132" s="92" t="str">
        <x:v>铝挤工序</x:v>
      </x:c>
      <x:c r="I132" s="94" t="n">
        <x:v>1</x:v>
      </x:c>
      <x:c r="J132" s="92" t="str">
        <x:v>是</x:v>
      </x:c>
      <x:c r="K132" s="92" t="str"/>
    </x:row>
    <x:row r="133">
      <x:c r="A133" s="92" t="str">
        <x:v>TPL-EXTRUSION</x:v>
      </x:c>
      <x:c r="B133" s="92" t="str">
        <x:v>金属件</x:v>
      </x:c>
      <x:c r="C133" s="92" t="str">
        <x:v>铝挤型材</x:v>
      </x:c>
      <x:c r="D133" s="92" t="str">
        <x:v>挤压、时效、矫直、定尺、钻攻、清洗检验和包装。</x:v>
      </x:c>
      <x:c r="E133" s="93" t="n">
        <x:v>5</x:v>
      </x:c>
      <x:c r="F133" s="92" t="str">
        <x:v>CN50</x:v>
      </x:c>
      <x:c r="G133" s="92" t="str">
        <x:v>钻孔/攻丝</x:v>
      </x:c>
      <x:c r="H133" s="92" t="str">
        <x:v>CNC工序</x:v>
      </x:c>
      <x:c r="I133" s="94" t="n">
        <x:v>1</x:v>
      </x:c>
      <x:c r="J133" s="92" t="str">
        <x:v>否</x:v>
      </x:c>
      <x:c r="K133" s="92" t="str"/>
    </x:row>
    <x:row r="134">
      <x:c r="A134" s="92" t="str">
        <x:v>TPL-EXTRUSION</x:v>
      </x:c>
      <x:c r="B134" s="92" t="str">
        <x:v>金属件</x:v>
      </x:c>
      <x:c r="C134" s="92" t="str">
        <x:v>铝挤型材</x:v>
      </x:c>
      <x:c r="D134" s="92" t="str">
        <x:v>挤压、时效、矫直、定尺、钻攻、清洗检验和包装。</x:v>
      </x:c>
      <x:c r="E134" s="93" t="n">
        <x:v>6</x:v>
      </x:c>
      <x:c r="F134" s="92" t="str">
        <x:v>CN70</x:v>
      </x:c>
      <x:c r="G134" s="92" t="str">
        <x:v>工业清洗</x:v>
      </x:c>
      <x:c r="H134" s="92" t="str">
        <x:v>CNC工序</x:v>
      </x:c>
      <x:c r="I134" s="94" t="n">
        <x:v>1</x:v>
      </x:c>
      <x:c r="J134" s="92" t="str">
        <x:v>是</x:v>
      </x:c>
      <x:c r="K134" s="92" t="str"/>
    </x:row>
    <x:row r="135">
      <x:c r="A135" s="92" t="str">
        <x:v>TPL-EXTRUSION</x:v>
      </x:c>
      <x:c r="B135" s="92" t="str">
        <x:v>金属件</x:v>
      </x:c>
      <x:c r="C135" s="92" t="str">
        <x:v>铝挤型材</x:v>
      </x:c>
      <x:c r="D135" s="92" t="str">
        <x:v>挤压、时效、矫直、定尺、钻攻、清洗检验和包装。</x:v>
      </x:c>
      <x:c r="E135" s="93" t="n">
        <x:v>7</x:v>
      </x:c>
      <x:c r="F135" s="92" t="str">
        <x:v>QI20</x:v>
      </x:c>
      <x:c r="G135" s="92" t="str">
        <x:v>尺寸抽检</x:v>
      </x:c>
      <x:c r="H135" s="92" t="str">
        <x:v>质检工序</x:v>
      </x:c>
      <x:c r="I135" s="94" t="n">
        <x:v>1</x:v>
      </x:c>
      <x:c r="J135" s="92" t="str">
        <x:v>是</x:v>
      </x:c>
      <x:c r="K135" s="92" t="str"/>
    </x:row>
    <x:row r="136">
      <x:c r="A136" s="92" t="str">
        <x:v>TPL-EXTRUSION</x:v>
      </x:c>
      <x:c r="B136" s="92" t="str">
        <x:v>金属件</x:v>
      </x:c>
      <x:c r="C136" s="92" t="str">
        <x:v>铝挤型材</x:v>
      </x:c>
      <x:c r="D136" s="92" t="str">
        <x:v>挤压、时效、矫直、定尺、钻攻、清洗检验和包装。</x:v>
      </x:c>
      <x:c r="E136" s="93" t="n">
        <x:v>8</x:v>
      </x:c>
      <x:c r="F136" s="92" t="str">
        <x:v>PK40</x:v>
      </x:c>
      <x:c r="G136" s="92" t="str">
        <x:v>装箱</x:v>
      </x:c>
      <x:c r="H136" s="92" t="str">
        <x:v>包装工序</x:v>
      </x:c>
      <x:c r="I136" s="94" t="n">
        <x:v>1</x:v>
      </x:c>
      <x:c r="J136" s="92" t="str">
        <x:v>是</x:v>
      </x:c>
      <x:c r="K136" s="92" t="str"/>
    </x:row>
    <x:row r="137">
      <x:c r="A137" s="92" t="str">
        <x:v>TPL-RUBBER</x:v>
      </x:c>
      <x:c r="B137" s="92" t="str">
        <x:v>成型件</x:v>
      </x:c>
      <x:c r="C137" s="92" t="str">
        <x:v>橡胶密封件</x:v>
      </x:c>
      <x:c r="D137" s="92" t="str">
        <x:v>模压硫化、修边、清洁、外观尺寸和包装。</x:v>
      </x:c>
      <x:c r="E137" s="93" t="n">
        <x:v>1</x:v>
      </x:c>
      <x:c r="F137" s="92" t="str">
        <x:v>RU10</x:v>
      </x:c>
      <x:c r="G137" s="92" t="str">
        <x:v>橡胶模压成型</x:v>
      </x:c>
      <x:c r="H137" s="92" t="str">
        <x:v>橡胶成型/硫化工艺</x:v>
      </x:c>
      <x:c r="I137" s="94" t="n">
        <x:v>1</x:v>
      </x:c>
      <x:c r="J137" s="92" t="str">
        <x:v>是</x:v>
      </x:c>
      <x:c r="K137" s="92" t="str">
        <x:v>行业典型路线</x:v>
      </x:c>
    </x:row>
    <x:row r="138">
      <x:c r="A138" s="92" t="str">
        <x:v>TPL-RUBBER</x:v>
      </x:c>
      <x:c r="B138" s="92" t="str">
        <x:v>成型件</x:v>
      </x:c>
      <x:c r="C138" s="92" t="str">
        <x:v>橡胶密封件</x:v>
      </x:c>
      <x:c r="D138" s="92" t="str">
        <x:v>模压硫化、修边、清洁、外观尺寸和包装。</x:v>
      </x:c>
      <x:c r="E138" s="93" t="n">
        <x:v>2</x:v>
      </x:c>
      <x:c r="F138" s="92" t="str">
        <x:v>RU50</x:v>
      </x:c>
      <x:c r="G138" s="92" t="str">
        <x:v>橡胶修边/冷冻去边</x:v>
      </x:c>
      <x:c r="H138" s="92" t="str">
        <x:v>橡胶成型/硫化工艺</x:v>
      </x:c>
      <x:c r="I138" s="94" t="n">
        <x:v>1</x:v>
      </x:c>
      <x:c r="J138" s="92" t="str">
        <x:v>是</x:v>
      </x:c>
      <x:c r="K138" s="92" t="str"/>
    </x:row>
    <x:row r="139">
      <x:c r="A139" s="92" t="str">
        <x:v>TPL-RUBBER</x:v>
      </x:c>
      <x:c r="B139" s="92" t="str">
        <x:v>成型件</x:v>
      </x:c>
      <x:c r="C139" s="92" t="str">
        <x:v>橡胶密封件</x:v>
      </x:c>
      <x:c r="D139" s="92" t="str">
        <x:v>模压硫化、修边、清洁、外观尺寸和包装。</x:v>
      </x:c>
      <x:c r="E139" s="93" t="n">
        <x:v>3</x:v>
      </x:c>
      <x:c r="F139" s="92" t="str">
        <x:v>MA100</x:v>
      </x:c>
      <x:c r="G139" s="92" t="str">
        <x:v>零件清洁</x:v>
      </x:c>
      <x:c r="H139" s="92" t="str">
        <x:v>人工工序</x:v>
      </x:c>
      <x:c r="I139" s="94" t="n">
        <x:v>1</x:v>
      </x:c>
      <x:c r="J139" s="92" t="str">
        <x:v>是</x:v>
      </x:c>
      <x:c r="K139" s="92" t="str"/>
    </x:row>
    <x:row r="140">
      <x:c r="A140" s="92" t="str">
        <x:v>TPL-RUBBER</x:v>
      </x:c>
      <x:c r="B140" s="92" t="str">
        <x:v>成型件</x:v>
      </x:c>
      <x:c r="C140" s="92" t="str">
        <x:v>橡胶密封件</x:v>
      </x:c>
      <x:c r="D140" s="92" t="str">
        <x:v>模压硫化、修边、清洁、外观尺寸和包装。</x:v>
      </x:c>
      <x:c r="E140" s="93" t="n">
        <x:v>4</x:v>
      </x:c>
      <x:c r="F140" s="92" t="str">
        <x:v>QI10</x:v>
      </x:c>
      <x:c r="G140" s="92" t="str">
        <x:v>外观全检</x:v>
      </x:c>
      <x:c r="H140" s="92" t="str">
        <x:v>质检工序</x:v>
      </x:c>
      <x:c r="I140" s="94" t="n">
        <x:v>1</x:v>
      </x:c>
      <x:c r="J140" s="92" t="str">
        <x:v>是</x:v>
      </x:c>
      <x:c r="K140" s="92" t="str"/>
    </x:row>
    <x:row r="141">
      <x:c r="A141" s="92" t="str">
        <x:v>TPL-RUBBER</x:v>
      </x:c>
      <x:c r="B141" s="92" t="str">
        <x:v>成型件</x:v>
      </x:c>
      <x:c r="C141" s="92" t="str">
        <x:v>橡胶密封件</x:v>
      </x:c>
      <x:c r="D141" s="92" t="str">
        <x:v>模压硫化、修边、清洁、外观尺寸和包装。</x:v>
      </x:c>
      <x:c r="E141" s="93" t="n">
        <x:v>5</x:v>
      </x:c>
      <x:c r="F141" s="92" t="str">
        <x:v>QI20</x:v>
      </x:c>
      <x:c r="G141" s="92" t="str">
        <x:v>尺寸抽检</x:v>
      </x:c>
      <x:c r="H141" s="92" t="str">
        <x:v>质检工序</x:v>
      </x:c>
      <x:c r="I141" s="94" t="n">
        <x:v>1</x:v>
      </x:c>
      <x:c r="J141" s="92" t="str">
        <x:v>是</x:v>
      </x:c>
      <x:c r="K141" s="92" t="str"/>
    </x:row>
    <x:row r="142">
      <x:c r="A142" s="92" t="str">
        <x:v>TPL-RUBBER</x:v>
      </x:c>
      <x:c r="B142" s="92" t="str">
        <x:v>成型件</x:v>
      </x:c>
      <x:c r="C142" s="92" t="str">
        <x:v>橡胶密封件</x:v>
      </x:c>
      <x:c r="D142" s="92" t="str">
        <x:v>模压硫化、修边、清洁、外观尺寸和包装。</x:v>
      </x:c>
      <x:c r="E142" s="93" t="n">
        <x:v>6</x:v>
      </x:c>
      <x:c r="F142" s="92" t="str">
        <x:v>PK10</x:v>
      </x:c>
      <x:c r="G142" s="92" t="str">
        <x:v>人工装袋</x:v>
      </x:c>
      <x:c r="H142" s="92" t="str">
        <x:v>包装工序</x:v>
      </x:c>
      <x:c r="I142" s="94" t="n">
        <x:v>1</x:v>
      </x:c>
      <x:c r="J142" s="92" t="str">
        <x:v>是</x:v>
      </x:c>
      <x:c r="K142" s="92" t="str"/>
    </x:row>
    <x:row r="143">
      <x:c r="A143" s="92" t="str">
        <x:v>TPL-RUBBER</x:v>
      </x:c>
      <x:c r="B143" s="92" t="str">
        <x:v>成型件</x:v>
      </x:c>
      <x:c r="C143" s="92" t="str">
        <x:v>橡胶密封件</x:v>
      </x:c>
      <x:c r="D143" s="92" t="str">
        <x:v>模压硫化、修边、清洁、外观尺寸和包装。</x:v>
      </x:c>
      <x:c r="E143" s="93" t="n">
        <x:v>7</x:v>
      </x:c>
      <x:c r="F143" s="92" t="str">
        <x:v>PK40</x:v>
      </x:c>
      <x:c r="G143" s="92" t="str">
        <x:v>装箱</x:v>
      </x:c>
      <x:c r="H143" s="92" t="str">
        <x:v>包装工序</x:v>
      </x:c>
      <x:c r="I143" s="94" t="n">
        <x:v>1</x:v>
      </x:c>
      <x:c r="J143" s="92" t="str">
        <x:v>是</x:v>
      </x:c>
      <x:c r="K143" s="92" t="str"/>
    </x:row>
    <x:row r="144">
      <x:c r="A144" s="92" t="str">
        <x:v>TPL-PCBA</x:v>
      </x:c>
      <x:c r="B144" s="92" t="str">
        <x:v>电气零件</x:v>
      </x:c>
      <x:c r="C144" s="92" t="str">
        <x:v>PCBA/SMT总成</x:v>
      </x:c>
      <x:c r="D144" s="92" t="str">
        <x:v>锡膏、SPI、贴片、回流、AOI、选择焊、ICT、功能检验和包装。</x:v>
      </x:c>
      <x:c r="E144" s="93" t="n">
        <x:v>1</x:v>
      </x:c>
      <x:c r="F144" s="92" t="str">
        <x:v>SM10</x:v>
      </x:c>
      <x:c r="G144" s="92" t="str">
        <x:v>锡膏印刷</x:v>
      </x:c>
      <x:c r="H144" s="92" t="str">
        <x:v>SMT工序</x:v>
      </x:c>
      <x:c r="I144" s="94" t="n">
        <x:v>1</x:v>
      </x:c>
      <x:c r="J144" s="92" t="str">
        <x:v>是</x:v>
      </x:c>
      <x:c r="K144" s="92" t="str">
        <x:v>行业典型路线</x:v>
      </x:c>
    </x:row>
    <x:row r="145">
      <x:c r="A145" s="92" t="str">
        <x:v>TPL-PCBA</x:v>
      </x:c>
      <x:c r="B145" s="92" t="str">
        <x:v>电气零件</x:v>
      </x:c>
      <x:c r="C145" s="92" t="str">
        <x:v>PCBA/SMT总成</x:v>
      </x:c>
      <x:c r="D145" s="92" t="str">
        <x:v>锡膏、SPI、贴片、回流、AOI、选择焊、ICT、功能检验和包装。</x:v>
      </x:c>
      <x:c r="E145" s="93" t="n">
        <x:v>2</x:v>
      </x:c>
      <x:c r="F145" s="92" t="str">
        <x:v>SM20</x:v>
      </x:c>
      <x:c r="G145" s="92" t="str">
        <x:v>SPI检测</x:v>
      </x:c>
      <x:c r="H145" s="92" t="str">
        <x:v>SMT工序</x:v>
      </x:c>
      <x:c r="I145" s="94" t="n">
        <x:v>1</x:v>
      </x:c>
      <x:c r="J145" s="92" t="str">
        <x:v>是</x:v>
      </x:c>
      <x:c r="K145" s="92" t="str"/>
    </x:row>
    <x:row r="146">
      <x:c r="A146" s="92" t="str">
        <x:v>TPL-PCBA</x:v>
      </x:c>
      <x:c r="B146" s="92" t="str">
        <x:v>电气零件</x:v>
      </x:c>
      <x:c r="C146" s="92" t="str">
        <x:v>PCBA/SMT总成</x:v>
      </x:c>
      <x:c r="D146" s="92" t="str">
        <x:v>锡膏、SPI、贴片、回流、AOI、选择焊、ICT、功能检验和包装。</x:v>
      </x:c>
      <x:c r="E146" s="93" t="n">
        <x:v>3</x:v>
      </x:c>
      <x:c r="F146" s="92" t="str">
        <x:v>SM30</x:v>
      </x:c>
      <x:c r="G146" s="92" t="str">
        <x:v>高速贴片</x:v>
      </x:c>
      <x:c r="H146" s="92" t="str">
        <x:v>SMT工序</x:v>
      </x:c>
      <x:c r="I146" s="94" t="n">
        <x:v>1</x:v>
      </x:c>
      <x:c r="J146" s="92" t="str">
        <x:v>是</x:v>
      </x:c>
      <x:c r="K146" s="92" t="str"/>
    </x:row>
    <x:row r="147">
      <x:c r="A147" s="92" t="str">
        <x:v>TPL-PCBA</x:v>
      </x:c>
      <x:c r="B147" s="92" t="str">
        <x:v>电气零件</x:v>
      </x:c>
      <x:c r="C147" s="92" t="str">
        <x:v>PCBA/SMT总成</x:v>
      </x:c>
      <x:c r="D147" s="92" t="str">
        <x:v>锡膏、SPI、贴片、回流、AOI、选择焊、ICT、功能检验和包装。</x:v>
      </x:c>
      <x:c r="E147" s="93" t="n">
        <x:v>4</x:v>
      </x:c>
      <x:c r="F147" s="92" t="str">
        <x:v>SM40</x:v>
      </x:c>
      <x:c r="G147" s="92" t="str">
        <x:v>泛用贴片</x:v>
      </x:c>
      <x:c r="H147" s="92" t="str">
        <x:v>SMT工序</x:v>
      </x:c>
      <x:c r="I147" s="94" t="n">
        <x:v>1</x:v>
      </x:c>
      <x:c r="J147" s="92" t="str">
        <x:v>是</x:v>
      </x:c>
      <x:c r="K147" s="92" t="str"/>
    </x:row>
    <x:row r="148">
      <x:c r="A148" s="92" t="str">
        <x:v>TPL-PCBA</x:v>
      </x:c>
      <x:c r="B148" s="92" t="str">
        <x:v>电气零件</x:v>
      </x:c>
      <x:c r="C148" s="92" t="str">
        <x:v>PCBA/SMT总成</x:v>
      </x:c>
      <x:c r="D148" s="92" t="str">
        <x:v>锡膏、SPI、贴片、回流、AOI、选择焊、ICT、功能检验和包装。</x:v>
      </x:c>
      <x:c r="E148" s="93" t="n">
        <x:v>5</x:v>
      </x:c>
      <x:c r="F148" s="92" t="str">
        <x:v>SM50</x:v>
      </x:c>
      <x:c r="G148" s="92" t="str">
        <x:v>回流焊</x:v>
      </x:c>
      <x:c r="H148" s="92" t="str">
        <x:v>SMT工序</x:v>
      </x:c>
      <x:c r="I148" s="94" t="n">
        <x:v>1</x:v>
      </x:c>
      <x:c r="J148" s="92" t="str">
        <x:v>是</x:v>
      </x:c>
      <x:c r="K148" s="92" t="str"/>
    </x:row>
    <x:row r="149">
      <x:c r="A149" s="92" t="str">
        <x:v>TPL-PCBA</x:v>
      </x:c>
      <x:c r="B149" s="92" t="str">
        <x:v>电气零件</x:v>
      </x:c>
      <x:c r="C149" s="92" t="str">
        <x:v>PCBA/SMT总成</x:v>
      </x:c>
      <x:c r="D149" s="92" t="str">
        <x:v>锡膏、SPI、贴片、回流、AOI、选择焊、ICT、功能检验和包装。</x:v>
      </x:c>
      <x:c r="E149" s="93" t="n">
        <x:v>6</x:v>
      </x:c>
      <x:c r="F149" s="92" t="str">
        <x:v>SM60</x:v>
      </x:c>
      <x:c r="G149" s="92" t="str">
        <x:v>AOI检测</x:v>
      </x:c>
      <x:c r="H149" s="92" t="str">
        <x:v>SMT工序</x:v>
      </x:c>
      <x:c r="I149" s="94" t="n">
        <x:v>1</x:v>
      </x:c>
      <x:c r="J149" s="92" t="str">
        <x:v>是</x:v>
      </x:c>
      <x:c r="K149" s="92" t="str"/>
    </x:row>
    <x:row r="150">
      <x:c r="A150" s="92" t="str">
        <x:v>TPL-PCBA</x:v>
      </x:c>
      <x:c r="B150" s="92" t="str">
        <x:v>电气零件</x:v>
      </x:c>
      <x:c r="C150" s="92" t="str">
        <x:v>PCBA/SMT总成</x:v>
      </x:c>
      <x:c r="D150" s="92" t="str">
        <x:v>锡膏、SPI、贴片、回流、AOI、选择焊、ICT、功能检验和包装。</x:v>
      </x:c>
      <x:c r="E150" s="93" t="n">
        <x:v>7</x:v>
      </x:c>
      <x:c r="F150" s="92" t="str">
        <x:v>SM70</x:v>
      </x:c>
      <x:c r="G150" s="92" t="str">
        <x:v>选择性焊接</x:v>
      </x:c>
      <x:c r="H150" s="92" t="str">
        <x:v>SMT工序</x:v>
      </x:c>
      <x:c r="I150" s="94" t="n">
        <x:v>1</x:v>
      </x:c>
      <x:c r="J150" s="92" t="str">
        <x:v>否</x:v>
      </x:c>
      <x:c r="K150" s="92" t="str"/>
    </x:row>
    <x:row r="151">
      <x:c r="A151" s="92" t="str">
        <x:v>TPL-PCBA</x:v>
      </x:c>
      <x:c r="B151" s="92" t="str">
        <x:v>电气零件</x:v>
      </x:c>
      <x:c r="C151" s="92" t="str">
        <x:v>PCBA/SMT总成</x:v>
      </x:c>
      <x:c r="D151" s="92" t="str">
        <x:v>锡膏、SPI、贴片、回流、AOI、选择焊、ICT、功能检验和包装。</x:v>
      </x:c>
      <x:c r="E151" s="93" t="n">
        <x:v>8</x:v>
      </x:c>
      <x:c r="F151" s="92" t="str">
        <x:v>SM80</x:v>
      </x:c>
      <x:c r="G151" s="92" t="str">
        <x:v>ICT测试</x:v>
      </x:c>
      <x:c r="H151" s="92" t="str">
        <x:v>SMT工序</x:v>
      </x:c>
      <x:c r="I151" s="94" t="n">
        <x:v>1</x:v>
      </x:c>
      <x:c r="J151" s="92" t="str">
        <x:v>是</x:v>
      </x:c>
      <x:c r="K151" s="92" t="str"/>
    </x:row>
    <x:row r="152">
      <x:c r="A152" s="92" t="str">
        <x:v>TPL-PCBA</x:v>
      </x:c>
      <x:c r="B152" s="92" t="str">
        <x:v>电气零件</x:v>
      </x:c>
      <x:c r="C152" s="92" t="str">
        <x:v>PCBA/SMT总成</x:v>
      </x:c>
      <x:c r="D152" s="92" t="str">
        <x:v>锡膏、SPI、贴片、回流、AOI、选择焊、ICT、功能检验和包装。</x:v>
      </x:c>
      <x:c r="E152" s="93" t="n">
        <x:v>9</x:v>
      </x:c>
      <x:c r="F152" s="92" t="str">
        <x:v>QI50</x:v>
      </x:c>
      <x:c r="G152" s="92" t="str">
        <x:v>EOL功能测试</x:v>
      </x:c>
      <x:c r="H152" s="92" t="str">
        <x:v>质检工序</x:v>
      </x:c>
      <x:c r="I152" s="94" t="n">
        <x:v>1</x:v>
      </x:c>
      <x:c r="J152" s="92" t="str">
        <x:v>是</x:v>
      </x:c>
      <x:c r="K152" s="92" t="str"/>
    </x:row>
    <x:row r="153">
      <x:c r="A153" s="92" t="str">
        <x:v>TPL-PCBA</x:v>
      </x:c>
      <x:c r="B153" s="92" t="str">
        <x:v>电气零件</x:v>
      </x:c>
      <x:c r="C153" s="92" t="str">
        <x:v>PCBA/SMT总成</x:v>
      </x:c>
      <x:c r="D153" s="92" t="str">
        <x:v>锡膏、SPI、贴片、回流、AOI、选择焊、ICT、功能检验和包装。</x:v>
      </x:c>
      <x:c r="E153" s="93" t="n">
        <x:v>10</x:v>
      </x:c>
      <x:c r="F153" s="92" t="str">
        <x:v>PK10</x:v>
      </x:c>
      <x:c r="G153" s="92" t="str">
        <x:v>人工装袋</x:v>
      </x:c>
      <x:c r="H153" s="92" t="str">
        <x:v>包装工序</x:v>
      </x:c>
      <x:c r="I153" s="94" t="n">
        <x:v>1</x:v>
      </x:c>
      <x:c r="J153" s="92" t="str">
        <x:v>是</x:v>
      </x:c>
      <x:c r="K153" s="92" t="str"/>
    </x:row>
    <x:row r="154">
      <x:c r="A154" s="92" t="str">
        <x:v>TPL-PCBA</x:v>
      </x:c>
      <x:c r="B154" s="92" t="str">
        <x:v>电气零件</x:v>
      </x:c>
      <x:c r="C154" s="92" t="str">
        <x:v>PCBA/SMT总成</x:v>
      </x:c>
      <x:c r="D154" s="92" t="str">
        <x:v>锡膏、SPI、贴片、回流、AOI、选择焊、ICT、功能检验和包装。</x:v>
      </x:c>
      <x:c r="E154" s="93" t="n">
        <x:v>11</x:v>
      </x:c>
      <x:c r="F154" s="92" t="str">
        <x:v>PK40</x:v>
      </x:c>
      <x:c r="G154" s="92" t="str">
        <x:v>装箱</x:v>
      </x:c>
      <x:c r="H154" s="92" t="str">
        <x:v>包装工序</x:v>
      </x:c>
      <x:c r="I154" s="94" t="n">
        <x:v>1</x:v>
      </x:c>
      <x:c r="J154" s="92" t="str">
        <x:v>是</x:v>
      </x:c>
      <x:c r="K154" s="92" t="str"/>
    </x:row>
    <x:row r="155">
      <x:c r="A155" s="92" t="str">
        <x:v>TPL-PAINT</x:v>
      </x:c>
      <x:c r="B155" s="92" t="str">
        <x:v>表面处理</x:v>
      </x:c>
      <x:c r="C155" s="92" t="str">
        <x:v>喷漆件（三涂）</x:v>
      </x:c>
      <x:c r="D155" s="92" t="str">
        <x:v>清洁前处理、底漆、色漆、清漆、外观检验和包装。</x:v>
      </x:c>
      <x:c r="E155" s="93" t="n">
        <x:v>1</x:v>
      </x:c>
      <x:c r="F155" s="92" t="str">
        <x:v>PF60</x:v>
      </x:c>
      <x:c r="G155" s="92" t="str">
        <x:v>超声波清洗</x:v>
      </x:c>
      <x:c r="H155" s="92" t="str">
        <x:v>后处理</x:v>
      </x:c>
      <x:c r="I155" s="94" t="n">
        <x:v>1</x:v>
      </x:c>
      <x:c r="J155" s="92" t="str">
        <x:v>是</x:v>
      </x:c>
      <x:c r="K155" s="92" t="str">
        <x:v>行业典型路线</x:v>
      </x:c>
    </x:row>
    <x:row r="156">
      <x:c r="A156" s="92" t="str">
        <x:v>TPL-PAINT</x:v>
      </x:c>
      <x:c r="B156" s="92" t="str">
        <x:v>表面处理</x:v>
      </x:c>
      <x:c r="C156" s="92" t="str">
        <x:v>喷漆件（三涂）</x:v>
      </x:c>
      <x:c r="D156" s="92" t="str">
        <x:v>清洁前处理、底漆、色漆、清漆、外观检验和包装。</x:v>
      </x:c>
      <x:c r="E156" s="93" t="n">
        <x:v>2</x:v>
      </x:c>
      <x:c r="F156" s="92" t="str">
        <x:v>PA10</x:v>
      </x:c>
      <x:c r="G156" s="92" t="str">
        <x:v>底漆喷涂</x:v>
      </x:c>
      <x:c r="H156" s="92" t="str">
        <x:v>烤漆/喷漆工艺</x:v>
      </x:c>
      <x:c r="I156" s="94" t="n">
        <x:v>1</x:v>
      </x:c>
      <x:c r="J156" s="92" t="str">
        <x:v>是</x:v>
      </x:c>
      <x:c r="K156" s="92" t="str"/>
    </x:row>
    <x:row r="157">
      <x:c r="A157" s="92" t="str">
        <x:v>TPL-PAINT</x:v>
      </x:c>
      <x:c r="B157" s="92" t="str">
        <x:v>表面处理</x:v>
      </x:c>
      <x:c r="C157" s="92" t="str">
        <x:v>喷漆件（三涂）</x:v>
      </x:c>
      <x:c r="D157" s="92" t="str">
        <x:v>清洁前处理、底漆、色漆、清漆、外观检验和包装。</x:v>
      </x:c>
      <x:c r="E157" s="93" t="n">
        <x:v>3</x:v>
      </x:c>
      <x:c r="F157" s="92" t="str">
        <x:v>PA20</x:v>
      </x:c>
      <x:c r="G157" s="92" t="str">
        <x:v>色漆喷涂</x:v>
      </x:c>
      <x:c r="H157" s="92" t="str">
        <x:v>烤漆/喷漆工艺</x:v>
      </x:c>
      <x:c r="I157" s="94" t="n">
        <x:v>1</x:v>
      </x:c>
      <x:c r="J157" s="92" t="str">
        <x:v>是</x:v>
      </x:c>
      <x:c r="K157" s="92" t="str"/>
    </x:row>
    <x:row r="158">
      <x:c r="A158" s="92" t="str">
        <x:v>TPL-PAINT</x:v>
      </x:c>
      <x:c r="B158" s="92" t="str">
        <x:v>表面处理</x:v>
      </x:c>
      <x:c r="C158" s="92" t="str">
        <x:v>喷漆件（三涂）</x:v>
      </x:c>
      <x:c r="D158" s="92" t="str">
        <x:v>清洁前处理、底漆、色漆、清漆、外观检验和包装。</x:v>
      </x:c>
      <x:c r="E158" s="93" t="n">
        <x:v>4</x:v>
      </x:c>
      <x:c r="F158" s="92" t="str">
        <x:v>PA30</x:v>
      </x:c>
      <x:c r="G158" s="92" t="str">
        <x:v>清漆喷涂</x:v>
      </x:c>
      <x:c r="H158" s="92" t="str">
        <x:v>烤漆/喷漆工艺</x:v>
      </x:c>
      <x:c r="I158" s="94" t="n">
        <x:v>1</x:v>
      </x:c>
      <x:c r="J158" s="92" t="str">
        <x:v>是</x:v>
      </x:c>
      <x:c r="K158" s="92" t="str"/>
    </x:row>
    <x:row r="159">
      <x:c r="A159" s="92" t="str">
        <x:v>TPL-PAINT</x:v>
      </x:c>
      <x:c r="B159" s="92" t="str">
        <x:v>表面处理</x:v>
      </x:c>
      <x:c r="C159" s="92" t="str">
        <x:v>喷漆件（三涂）</x:v>
      </x:c>
      <x:c r="D159" s="92" t="str">
        <x:v>清洁前处理、底漆、色漆、清漆、外观检验和包装。</x:v>
      </x:c>
      <x:c r="E159" s="93" t="n">
        <x:v>5</x:v>
      </x:c>
      <x:c r="F159" s="92" t="str">
        <x:v>QI10</x:v>
      </x:c>
      <x:c r="G159" s="92" t="str">
        <x:v>外观全检</x:v>
      </x:c>
      <x:c r="H159" s="92" t="str">
        <x:v>质检工序</x:v>
      </x:c>
      <x:c r="I159" s="94" t="n">
        <x:v>1</x:v>
      </x:c>
      <x:c r="J159" s="92" t="str">
        <x:v>是</x:v>
      </x:c>
      <x:c r="K159" s="92" t="str"/>
    </x:row>
    <x:row r="160">
      <x:c r="A160" s="92" t="str">
        <x:v>TPL-PAINT</x:v>
      </x:c>
      <x:c r="B160" s="92" t="str">
        <x:v>表面处理</x:v>
      </x:c>
      <x:c r="C160" s="92" t="str">
        <x:v>喷漆件（三涂）</x:v>
      </x:c>
      <x:c r="D160" s="92" t="str">
        <x:v>清洁前处理、底漆、色漆、清漆、外观检验和包装。</x:v>
      </x:c>
      <x:c r="E160" s="93" t="n">
        <x:v>6</x:v>
      </x:c>
      <x:c r="F160" s="92" t="str">
        <x:v>PK40</x:v>
      </x:c>
      <x:c r="G160" s="92" t="str">
        <x:v>装箱</x:v>
      </x:c>
      <x:c r="H160" s="92" t="str">
        <x:v>包装工序</x:v>
      </x:c>
      <x:c r="I160" s="94" t="n">
        <x:v>1</x:v>
      </x:c>
      <x:c r="J160" s="92" t="str">
        <x:v>是</x:v>
      </x:c>
      <x:c r="K160" s="92" t="str"/>
    </x:row>
    <x:row r="161">
      <x:c r="A161" s="92" t="str">
        <x:v>TPL-POWDER</x:v>
      </x:c>
      <x:c r="B161" s="92" t="str">
        <x:v>表面处理</x:v>
      </x:c>
      <x:c r="C161" s="92" t="str">
        <x:v>钣金喷粉件</x:v>
      </x:c>
      <x:c r="D161" s="92" t="str">
        <x:v>激光切割折弯、前处理、自动喷粉固化、检验和包装。</x:v>
      </x:c>
      <x:c r="E161" s="93" t="n">
        <x:v>1</x:v>
      </x:c>
      <x:c r="F161" s="92" t="str">
        <x:v>SM10</x:v>
      </x:c>
      <x:c r="G161" s="92" t="str">
        <x:v>光纤激光切割</x:v>
      </x:c>
      <x:c r="H161" s="92" t="str">
        <x:v>钣金加工工艺</x:v>
      </x:c>
      <x:c r="I161" s="94" t="n">
        <x:v>1</x:v>
      </x:c>
      <x:c r="J161" s="92" t="str">
        <x:v>是</x:v>
      </x:c>
      <x:c r="K161" s="92" t="str">
        <x:v>行业典型路线</x:v>
      </x:c>
    </x:row>
    <x:row r="162">
      <x:c r="A162" s="92" t="str">
        <x:v>TPL-POWDER</x:v>
      </x:c>
      <x:c r="B162" s="92" t="str">
        <x:v>表面处理</x:v>
      </x:c>
      <x:c r="C162" s="92" t="str">
        <x:v>钣金喷粉件</x:v>
      </x:c>
      <x:c r="D162" s="92" t="str">
        <x:v>激光切割折弯、前处理、自动喷粉固化、检验和包装。</x:v>
      </x:c>
      <x:c r="E162" s="93" t="n">
        <x:v>2</x:v>
      </x:c>
      <x:c r="F162" s="92" t="str">
        <x:v>SM30</x:v>
      </x:c>
      <x:c r="G162" s="92" t="str">
        <x:v>数控折弯</x:v>
      </x:c>
      <x:c r="H162" s="92" t="str">
        <x:v>钣金加工工艺</x:v>
      </x:c>
      <x:c r="I162" s="94" t="n">
        <x:v>1</x:v>
      </x:c>
      <x:c r="J162" s="92" t="str">
        <x:v>是</x:v>
      </x:c>
      <x:c r="K162" s="92" t="str"/>
    </x:row>
    <x:row r="163">
      <x:c r="A163" s="92" t="str">
        <x:v>TPL-POWDER</x:v>
      </x:c>
      <x:c r="B163" s="92" t="str">
        <x:v>表面处理</x:v>
      </x:c>
      <x:c r="C163" s="92" t="str">
        <x:v>钣金喷粉件</x:v>
      </x:c>
      <x:c r="D163" s="92" t="str">
        <x:v>激光切割折弯、前处理、自动喷粉固化、检验和包装。</x:v>
      </x:c>
      <x:c r="E163" s="93" t="n">
        <x:v>3</x:v>
      </x:c>
      <x:c r="F163" s="92" t="str">
        <x:v>PW30</x:v>
      </x:c>
      <x:c r="G163" s="92" t="str">
        <x:v>前处理+喷粉+固化整线</x:v>
      </x:c>
      <x:c r="H163" s="92" t="str">
        <x:v>喷粉</x:v>
      </x:c>
      <x:c r="I163" s="94" t="n">
        <x:v>1</x:v>
      </x:c>
      <x:c r="J163" s="92" t="str">
        <x:v>是</x:v>
      </x:c>
      <x:c r="K163" s="92" t="str"/>
    </x:row>
    <x:row r="164">
      <x:c r="A164" s="92" t="str">
        <x:v>TPL-POWDER</x:v>
      </x:c>
      <x:c r="B164" s="92" t="str">
        <x:v>表面处理</x:v>
      </x:c>
      <x:c r="C164" s="92" t="str">
        <x:v>钣金喷粉件</x:v>
      </x:c>
      <x:c r="D164" s="92" t="str">
        <x:v>激光切割折弯、前处理、自动喷粉固化、检验和包装。</x:v>
      </x:c>
      <x:c r="E164" s="93" t="n">
        <x:v>4</x:v>
      </x:c>
      <x:c r="F164" s="92" t="str">
        <x:v>QI10</x:v>
      </x:c>
      <x:c r="G164" s="92" t="str">
        <x:v>外观全检</x:v>
      </x:c>
      <x:c r="H164" s="92" t="str">
        <x:v>质检工序</x:v>
      </x:c>
      <x:c r="I164" s="94" t="n">
        <x:v>1</x:v>
      </x:c>
      <x:c r="J164" s="92" t="str">
        <x:v>是</x:v>
      </x:c>
      <x:c r="K164" s="92" t="str"/>
    </x:row>
    <x:row r="165">
      <x:c r="A165" s="92" t="str">
        <x:v>TPL-POWDER</x:v>
      </x:c>
      <x:c r="B165" s="92" t="str">
        <x:v>表面处理</x:v>
      </x:c>
      <x:c r="C165" s="92" t="str">
        <x:v>钣金喷粉件</x:v>
      </x:c>
      <x:c r="D165" s="92" t="str">
        <x:v>激光切割折弯、前处理、自动喷粉固化、检验和包装。</x:v>
      </x:c>
      <x:c r="E165" s="93" t="n">
        <x:v>5</x:v>
      </x:c>
      <x:c r="F165" s="92" t="str">
        <x:v>QI20</x:v>
      </x:c>
      <x:c r="G165" s="92" t="str">
        <x:v>尺寸抽检</x:v>
      </x:c>
      <x:c r="H165" s="92" t="str">
        <x:v>质检工序</x:v>
      </x:c>
      <x:c r="I165" s="94" t="n">
        <x:v>1</x:v>
      </x:c>
      <x:c r="J165" s="92" t="str">
        <x:v>是</x:v>
      </x:c>
      <x:c r="K165" s="92" t="str"/>
    </x:row>
    <x:row r="166">
      <x:c r="A166" s="92" t="str">
        <x:v>TPL-POWDER</x:v>
      </x:c>
      <x:c r="B166" s="92" t="str">
        <x:v>表面处理</x:v>
      </x:c>
      <x:c r="C166" s="92" t="str">
        <x:v>钣金喷粉件</x:v>
      </x:c>
      <x:c r="D166" s="92" t="str">
        <x:v>激光切割折弯、前处理、自动喷粉固化、检验和包装。</x:v>
      </x:c>
      <x:c r="E166" s="93" t="n">
        <x:v>6</x:v>
      </x:c>
      <x:c r="F166" s="92" t="str">
        <x:v>PK40</x:v>
      </x:c>
      <x:c r="G166" s="92" t="str">
        <x:v>装箱</x:v>
      </x:c>
      <x:c r="H166" s="92" t="str">
        <x:v>包装工序</x:v>
      </x:c>
      <x:c r="I166" s="94" t="n">
        <x:v>1</x:v>
      </x:c>
      <x:c r="J166" s="92" t="str">
        <x:v>是</x:v>
      </x:c>
      <x:c r="K166" s="92" t="str"/>
    </x:row>
    <x:row r="167">
      <x:c r="A167" s="92" t="str">
        <x:v>TPL-THERMOFORM</x:v>
      </x:c>
      <x:c r="B167" s="92" t="str">
        <x:v>包装件</x:v>
      </x:c>
      <x:c r="C167" s="92" t="str">
        <x:v>吸塑托盘</x:v>
      </x:c>
      <x:c r="D167" s="92" t="str">
        <x:v>片材吸塑成型、冲切、外观尺寸、堆叠与包装。</x:v>
      </x:c>
      <x:c r="E167" s="93" t="n">
        <x:v>1</x:v>
      </x:c>
      <x:c r="F167" s="92" t="str">
        <x:v>TH10</x:v>
      </x:c>
      <x:c r="G167" s="92" t="str">
        <x:v>PET吸塑托盘成型</x:v>
      </x:c>
      <x:c r="H167" s="92" t="str">
        <x:v>吸塑工序</x:v>
      </x:c>
      <x:c r="I167" s="94" t="n">
        <x:v>1</x:v>
      </x:c>
      <x:c r="J167" s="92" t="str">
        <x:v>是</x:v>
      </x:c>
      <x:c r="K167" s="92" t="str">
        <x:v>行业典型路线</x:v>
      </x:c>
    </x:row>
    <x:row r="168">
      <x:c r="A168" s="92" t="str">
        <x:v>TPL-THERMOFORM</x:v>
      </x:c>
      <x:c r="B168" s="92" t="str">
        <x:v>包装件</x:v>
      </x:c>
      <x:c r="C168" s="92" t="str">
        <x:v>吸塑托盘</x:v>
      </x:c>
      <x:c r="D168" s="92" t="str">
        <x:v>片材吸塑成型、冲切、外观尺寸、堆叠与包装。</x:v>
      </x:c>
      <x:c r="E168" s="93" t="n">
        <x:v>2</x:v>
      </x:c>
      <x:c r="F168" s="92" t="str">
        <x:v>TH40</x:v>
      </x:c>
      <x:c r="G168" s="92" t="str">
        <x:v>吸塑冲切</x:v>
      </x:c>
      <x:c r="H168" s="92" t="str">
        <x:v>吸塑工序</x:v>
      </x:c>
      <x:c r="I168" s="94" t="n">
        <x:v>1</x:v>
      </x:c>
      <x:c r="J168" s="92" t="str">
        <x:v>是</x:v>
      </x:c>
      <x:c r="K168" s="92" t="str"/>
    </x:row>
    <x:row r="169">
      <x:c r="A169" s="92" t="str">
        <x:v>TPL-THERMOFORM</x:v>
      </x:c>
      <x:c r="B169" s="92" t="str">
        <x:v>包装件</x:v>
      </x:c>
      <x:c r="C169" s="92" t="str">
        <x:v>吸塑托盘</x:v>
      </x:c>
      <x:c r="D169" s="92" t="str">
        <x:v>片材吸塑成型、冲切、外观尺寸、堆叠与包装。</x:v>
      </x:c>
      <x:c r="E169" s="93" t="n">
        <x:v>3</x:v>
      </x:c>
      <x:c r="F169" s="92" t="str">
        <x:v>QI10</x:v>
      </x:c>
      <x:c r="G169" s="92" t="str">
        <x:v>外观全检</x:v>
      </x:c>
      <x:c r="H169" s="92" t="str">
        <x:v>质检工序</x:v>
      </x:c>
      <x:c r="I169" s="94" t="n">
        <x:v>1</x:v>
      </x:c>
      <x:c r="J169" s="92" t="str">
        <x:v>是</x:v>
      </x:c>
      <x:c r="K169" s="92" t="str"/>
    </x:row>
    <x:row r="170">
      <x:c r="A170" s="92" t="str">
        <x:v>TPL-THERMOFORM</x:v>
      </x:c>
      <x:c r="B170" s="92" t="str">
        <x:v>包装件</x:v>
      </x:c>
      <x:c r="C170" s="92" t="str">
        <x:v>吸塑托盘</x:v>
      </x:c>
      <x:c r="D170" s="92" t="str">
        <x:v>片材吸塑成型、冲切、外观尺寸、堆叠与包装。</x:v>
      </x:c>
      <x:c r="E170" s="93" t="n">
        <x:v>4</x:v>
      </x:c>
      <x:c r="F170" s="92" t="str">
        <x:v>QI20</x:v>
      </x:c>
      <x:c r="G170" s="92" t="str">
        <x:v>尺寸抽检</x:v>
      </x:c>
      <x:c r="H170" s="92" t="str">
        <x:v>质检工序</x:v>
      </x:c>
      <x:c r="I170" s="94" t="n">
        <x:v>1</x:v>
      </x:c>
      <x:c r="J170" s="92" t="str">
        <x:v>是</x:v>
      </x:c>
      <x:c r="K170" s="92" t="str"/>
    </x:row>
    <x:row r="171">
      <x:c r="A171" s="92" t="str">
        <x:v>TPL-THERMOFORM</x:v>
      </x:c>
      <x:c r="B171" s="92" t="str">
        <x:v>包装件</x:v>
      </x:c>
      <x:c r="C171" s="92" t="str">
        <x:v>吸塑托盘</x:v>
      </x:c>
      <x:c r="D171" s="92" t="str">
        <x:v>片材吸塑成型、冲切、外观尺寸、堆叠与包装。</x:v>
      </x:c>
      <x:c r="E171" s="93" t="n">
        <x:v>5</x:v>
      </x:c>
      <x:c r="F171" s="92" t="str">
        <x:v>PK70</x:v>
      </x:c>
      <x:c r="G171" s="92" t="str">
        <x:v>码垛</x:v>
      </x:c>
      <x:c r="H171" s="92" t="str">
        <x:v>包装工序</x:v>
      </x:c>
      <x:c r="I171" s="94" t="n">
        <x:v>1</x:v>
      </x:c>
      <x:c r="J171" s="92" t="str">
        <x:v>是</x:v>
      </x:c>
      <x:c r="K171" s="92" t="str"/>
    </x:row>
    <x:row r="172">
      <x:c r="A172" s="92" t="str">
        <x:v>TPL-FORGING</x:v>
      </x:c>
      <x:c r="B172" s="92" t="str">
        <x:v>金属件</x:v>
      </x:c>
      <x:c r="C172" s="92" t="str">
        <x:v>锻造件</x:v>
      </x:c>
      <x:c r="D172" s="92" t="str">
        <x:v>温锻、切边、热处理、机加工、清洗检验与包装。</x:v>
      </x:c>
      <x:c r="E172" s="93" t="n">
        <x:v>1</x:v>
      </x:c>
      <x:c r="F172" s="92" t="str">
        <x:v>FO20</x:v>
      </x:c>
      <x:c r="G172" s="92" t="str">
        <x:v>温锻</x:v>
      </x:c>
      <x:c r="H172" s="92" t="str">
        <x:v>锻造工艺</x:v>
      </x:c>
      <x:c r="I172" s="94" t="n">
        <x:v>1</x:v>
      </x:c>
      <x:c r="J172" s="92" t="str">
        <x:v>是</x:v>
      </x:c>
      <x:c r="K172" s="92" t="str">
        <x:v>行业典型路线</x:v>
      </x:c>
    </x:row>
    <x:row r="173">
      <x:c r="A173" s="92" t="str">
        <x:v>TPL-FORGING</x:v>
      </x:c>
      <x:c r="B173" s="92" t="str">
        <x:v>金属件</x:v>
      </x:c>
      <x:c r="C173" s="92" t="str">
        <x:v>锻造件</x:v>
      </x:c>
      <x:c r="D173" s="92" t="str">
        <x:v>温锻、切边、热处理、机加工、清洗检验与包装。</x:v>
      </x:c>
      <x:c r="E173" s="93" t="n">
        <x:v>2</x:v>
      </x:c>
      <x:c r="F173" s="92" t="str">
        <x:v>FO40</x:v>
      </x:c>
      <x:c r="G173" s="92" t="str">
        <x:v>锻件切边</x:v>
      </x:c>
      <x:c r="H173" s="92" t="str">
        <x:v>锻造工艺</x:v>
      </x:c>
      <x:c r="I173" s="94" t="n">
        <x:v>1</x:v>
      </x:c>
      <x:c r="J173" s="92" t="str">
        <x:v>是</x:v>
      </x:c>
      <x:c r="K173" s="92" t="str"/>
    </x:row>
    <x:row r="174">
      <x:c r="A174" s="92" t="str">
        <x:v>TPL-FORGING</x:v>
      </x:c>
      <x:c r="B174" s="92" t="str">
        <x:v>金属件</x:v>
      </x:c>
      <x:c r="C174" s="92" t="str">
        <x:v>锻造件</x:v>
      </x:c>
      <x:c r="D174" s="92" t="str">
        <x:v>温锻、切边、热处理、机加工、清洗检验与包装。</x:v>
      </x:c>
      <x:c r="E174" s="93" t="n">
        <x:v>3</x:v>
      </x:c>
      <x:c r="F174" s="92" t="str">
        <x:v>HT50</x:v>
      </x:c>
      <x:c r="G174" s="92" t="str">
        <x:v>退火/去应力</x:v>
      </x:c>
      <x:c r="H174" s="92" t="str">
        <x:v>热处理工艺</x:v>
      </x:c>
      <x:c r="I174" s="94" t="n">
        <x:v>1</x:v>
      </x:c>
      <x:c r="J174" s="92" t="str">
        <x:v>是</x:v>
      </x:c>
      <x:c r="K174" s="92" t="str"/>
    </x:row>
    <x:row r="175">
      <x:c r="A175" s="92" t="str">
        <x:v>TPL-FORGING</x:v>
      </x:c>
      <x:c r="B175" s="92" t="str">
        <x:v>金属件</x:v>
      </x:c>
      <x:c r="C175" s="92" t="str">
        <x:v>锻造件</x:v>
      </x:c>
      <x:c r="D175" s="92" t="str">
        <x:v>温锻、切边、热处理、机加工、清洗检验与包装。</x:v>
      </x:c>
      <x:c r="E175" s="93" t="n">
        <x:v>4</x:v>
      </x:c>
      <x:c r="F175" s="92" t="str">
        <x:v>CN40</x:v>
      </x:c>
      <x:c r="G175" s="92" t="str">
        <x:v>数控车削</x:v>
      </x:c>
      <x:c r="H175" s="92" t="str">
        <x:v>CNC工序</x:v>
      </x:c>
      <x:c r="I175" s="94" t="n">
        <x:v>1</x:v>
      </x:c>
      <x:c r="J175" s="92" t="str">
        <x:v>否</x:v>
      </x:c>
      <x:c r="K175" s="92" t="str"/>
    </x:row>
    <x:row r="176">
      <x:c r="A176" s="92" t="str">
        <x:v>TPL-FORGING</x:v>
      </x:c>
      <x:c r="B176" s="92" t="str">
        <x:v>金属件</x:v>
      </x:c>
      <x:c r="C176" s="92" t="str">
        <x:v>锻造件</x:v>
      </x:c>
      <x:c r="D176" s="92" t="str">
        <x:v>温锻、切边、热处理、机加工、清洗检验与包装。</x:v>
      </x:c>
      <x:c r="E176" s="93" t="n">
        <x:v>5</x:v>
      </x:c>
      <x:c r="F176" s="92" t="str">
        <x:v>CN70</x:v>
      </x:c>
      <x:c r="G176" s="92" t="str">
        <x:v>工业清洗</x:v>
      </x:c>
      <x:c r="H176" s="92" t="str">
        <x:v>CNC工序</x:v>
      </x:c>
      <x:c r="I176" s="94" t="n">
        <x:v>1</x:v>
      </x:c>
      <x:c r="J176" s="92" t="str">
        <x:v>是</x:v>
      </x:c>
      <x:c r="K176" s="92" t="str"/>
    </x:row>
    <x:row r="177">
      <x:c r="A177" s="92" t="str">
        <x:v>TPL-FORGING</x:v>
      </x:c>
      <x:c r="B177" s="92" t="str">
        <x:v>金属件</x:v>
      </x:c>
      <x:c r="C177" s="92" t="str">
        <x:v>锻造件</x:v>
      </x:c>
      <x:c r="D177" s="92" t="str">
        <x:v>温锻、切边、热处理、机加工、清洗检验与包装。</x:v>
      </x:c>
      <x:c r="E177" s="93" t="n">
        <x:v>6</x:v>
      </x:c>
      <x:c r="F177" s="92" t="str">
        <x:v>QI20</x:v>
      </x:c>
      <x:c r="G177" s="92" t="str">
        <x:v>尺寸抽检</x:v>
      </x:c>
      <x:c r="H177" s="92" t="str">
        <x:v>质检工序</x:v>
      </x:c>
      <x:c r="I177" s="94" t="n">
        <x:v>1</x:v>
      </x:c>
      <x:c r="J177" s="92" t="str">
        <x:v>是</x:v>
      </x:c>
      <x:c r="K177" s="92" t="str"/>
    </x:row>
    <x:row r="178">
      <x:c r="A178" s="92" t="str">
        <x:v>TPL-FORGING</x:v>
      </x:c>
      <x:c r="B178" s="92" t="str">
        <x:v>金属件</x:v>
      </x:c>
      <x:c r="C178" s="92" t="str">
        <x:v>锻造件</x:v>
      </x:c>
      <x:c r="D178" s="92" t="str">
        <x:v>温锻、切边、热处理、机加工、清洗检验与包装。</x:v>
      </x:c>
      <x:c r="E178" s="93" t="n">
        <x:v>7</x:v>
      </x:c>
      <x:c r="F178" s="92" t="str">
        <x:v>PK40</x:v>
      </x:c>
      <x:c r="G178" s="92" t="str">
        <x:v>装箱</x:v>
      </x:c>
      <x:c r="H178" s="92" t="str">
        <x:v>包装工序</x:v>
      </x:c>
      <x:c r="I178" s="94" t="n">
        <x:v>1</x:v>
      </x:c>
      <x:c r="J178" s="92" t="str">
        <x:v>是</x:v>
      </x:c>
      <x:c r="K178" s="92" t="str"/>
    </x:row>
    <x:row r="179">
      <x:c r="A179" s="92" t="str">
        <x:v>TPL-CARBON</x:v>
      </x:c>
      <x:c r="B179" s="92" t="str">
        <x:v>复合材料</x:v>
      </x:c>
      <x:c r="C179" s="92" t="str">
        <x:v>碳纤维预浸料件</x:v>
      </x:c>
      <x:c r="D179" s="92" t="str">
        <x:v>铺层、真空袋、热压罐固化、CNC修边、外观尺寸和包装。</x:v>
      </x:c>
      <x:c r="E179" s="93" t="n">
        <x:v>1</x:v>
      </x:c>
      <x:c r="F179" s="92" t="str">
        <x:v>CF10</x:v>
      </x:c>
      <x:c r="G179" s="92" t="str">
        <x:v>预浸料人工铺层</x:v>
      </x:c>
      <x:c r="H179" s="92" t="str">
        <x:v>复合材料铺层</x:v>
      </x:c>
      <x:c r="I179" s="94" t="n">
        <x:v>1</x:v>
      </x:c>
      <x:c r="J179" s="92" t="str">
        <x:v>是</x:v>
      </x:c>
      <x:c r="K179" s="92" t="str">
        <x:v>行业典型路线</x:v>
      </x:c>
    </x:row>
    <x:row r="180">
      <x:c r="A180" s="92" t="str">
        <x:v>TPL-CARBON</x:v>
      </x:c>
      <x:c r="B180" s="92" t="str">
        <x:v>复合材料</x:v>
      </x:c>
      <x:c r="C180" s="92" t="str">
        <x:v>碳纤维预浸料件</x:v>
      </x:c>
      <x:c r="D180" s="92" t="str">
        <x:v>铺层、真空袋、热压罐固化、CNC修边、外观尺寸和包装。</x:v>
      </x:c>
      <x:c r="E180" s="93" t="n">
        <x:v>2</x:v>
      </x:c>
      <x:c r="F180" s="92" t="str">
        <x:v>CF20</x:v>
      </x:c>
      <x:c r="G180" s="92" t="str">
        <x:v>真空袋封装</x:v>
      </x:c>
      <x:c r="H180" s="92" t="str">
        <x:v>复合材料铺层</x:v>
      </x:c>
      <x:c r="I180" s="94" t="n">
        <x:v>1</x:v>
      </x:c>
      <x:c r="J180" s="92" t="str">
        <x:v>是</x:v>
      </x:c>
      <x:c r="K180" s="92" t="str"/>
    </x:row>
    <x:row r="181">
      <x:c r="A181" s="92" t="str">
        <x:v>TPL-CARBON</x:v>
      </x:c>
      <x:c r="B181" s="92" t="str">
        <x:v>复合材料</x:v>
      </x:c>
      <x:c r="C181" s="92" t="str">
        <x:v>碳纤维预浸料件</x:v>
      </x:c>
      <x:c r="D181" s="92" t="str">
        <x:v>铺层、真空袋、热压罐固化、CNC修边、外观尺寸和包装。</x:v>
      </x:c>
      <x:c r="E181" s="93" t="n">
        <x:v>3</x:v>
      </x:c>
      <x:c r="F181" s="92" t="str">
        <x:v>CF30</x:v>
      </x:c>
      <x:c r="G181" s="92" t="str">
        <x:v>热压罐固化</x:v>
      </x:c>
      <x:c r="H181" s="92" t="str">
        <x:v>复合材料铺层</x:v>
      </x:c>
      <x:c r="I181" s="94" t="n">
        <x:v>1</x:v>
      </x:c>
      <x:c r="J181" s="92" t="str">
        <x:v>是</x:v>
      </x:c>
      <x:c r="K181" s="92" t="str"/>
    </x:row>
    <x:row r="182">
      <x:c r="A182" s="92" t="str">
        <x:v>TPL-CARBON</x:v>
      </x:c>
      <x:c r="B182" s="92" t="str">
        <x:v>复合材料</x:v>
      </x:c>
      <x:c r="C182" s="92" t="str">
        <x:v>碳纤维预浸料件</x:v>
      </x:c>
      <x:c r="D182" s="92" t="str">
        <x:v>铺层、真空袋、热压罐固化、CNC修边、外观尺寸和包装。</x:v>
      </x:c>
      <x:c r="E182" s="93" t="n">
        <x:v>4</x:v>
      </x:c>
      <x:c r="F182" s="92" t="str">
        <x:v>CF50</x:v>
      </x:c>
      <x:c r="G182" s="92" t="str">
        <x:v>复材CNC修边</x:v>
      </x:c>
      <x:c r="H182" s="92" t="str">
        <x:v>复合材料铺层</x:v>
      </x:c>
      <x:c r="I182" s="94" t="n">
        <x:v>1</x:v>
      </x:c>
      <x:c r="J182" s="92" t="str">
        <x:v>是</x:v>
      </x:c>
      <x:c r="K182" s="92" t="str"/>
    </x:row>
    <x:row r="183">
      <x:c r="A183" s="92" t="str">
        <x:v>TPL-CARBON</x:v>
      </x:c>
      <x:c r="B183" s="92" t="str">
        <x:v>复合材料</x:v>
      </x:c>
      <x:c r="C183" s="92" t="str">
        <x:v>碳纤维预浸料件</x:v>
      </x:c>
      <x:c r="D183" s="92" t="str">
        <x:v>铺层、真空袋、热压罐固化、CNC修边、外观尺寸和包装。</x:v>
      </x:c>
      <x:c r="E183" s="93" t="n">
        <x:v>5</x:v>
      </x:c>
      <x:c r="F183" s="92" t="str">
        <x:v>QI10</x:v>
      </x:c>
      <x:c r="G183" s="92" t="str">
        <x:v>外观全检</x:v>
      </x:c>
      <x:c r="H183" s="92" t="str">
        <x:v>质检工序</x:v>
      </x:c>
      <x:c r="I183" s="94" t="n">
        <x:v>1</x:v>
      </x:c>
      <x:c r="J183" s="92" t="str">
        <x:v>是</x:v>
      </x:c>
      <x:c r="K183" s="92" t="str"/>
    </x:row>
    <x:row r="184">
      <x:c r="A184" s="92" t="str">
        <x:v>TPL-CARBON</x:v>
      </x:c>
      <x:c r="B184" s="92" t="str">
        <x:v>复合材料</x:v>
      </x:c>
      <x:c r="C184" s="92" t="str">
        <x:v>碳纤维预浸料件</x:v>
      </x:c>
      <x:c r="D184" s="92" t="str">
        <x:v>铺层、真空袋、热压罐固化、CNC修边、外观尺寸和包装。</x:v>
      </x:c>
      <x:c r="E184" s="93" t="n">
        <x:v>6</x:v>
      </x:c>
      <x:c r="F184" s="92" t="str">
        <x:v>QI20</x:v>
      </x:c>
      <x:c r="G184" s="92" t="str">
        <x:v>尺寸抽检</x:v>
      </x:c>
      <x:c r="H184" s="92" t="str">
        <x:v>质检工序</x:v>
      </x:c>
      <x:c r="I184" s="94" t="n">
        <x:v>1</x:v>
      </x:c>
      <x:c r="J184" s="92" t="str">
        <x:v>是</x:v>
      </x:c>
      <x:c r="K184" s="92" t="str"/>
    </x:row>
    <x:row r="185">
      <x:c r="A185" s="92" t="str">
        <x:v>TPL-CARBON</x:v>
      </x:c>
      <x:c r="B185" s="92" t="str">
        <x:v>复合材料</x:v>
      </x:c>
      <x:c r="C185" s="92" t="str">
        <x:v>碳纤维预浸料件</x:v>
      </x:c>
      <x:c r="D185" s="92" t="str">
        <x:v>铺层、真空袋、热压罐固化、CNC修边、外观尺寸和包装。</x:v>
      </x:c>
      <x:c r="E185" s="93" t="n">
        <x:v>7</x:v>
      </x:c>
      <x:c r="F185" s="92" t="str">
        <x:v>PK40</x:v>
      </x:c>
      <x:c r="G185" s="92" t="str">
        <x:v>装箱</x:v>
      </x:c>
      <x:c r="H185" s="92" t="str">
        <x:v>包装工序</x:v>
      </x:c>
      <x:c r="I185" s="94" t="n">
        <x:v>1</x:v>
      </x:c>
      <x:c r="J185" s="92" t="str">
        <x:v>是</x:v>
      </x:c>
      <x:c r="K185" s="92" t="str"/>
    </x:row>
    <x:row r="186">
      <x:c r="A186" s="92" t="str">
        <x:v>TPL-DIECUT</x:v>
      </x:c>
      <x:c r="B186" s="92" t="str">
        <x:v>辅材件</x:v>
      </x:c>
      <x:c r="C186" s="92" t="str">
        <x:v>胶带/泡棉模切件</x:v>
      </x:c>
      <x:c r="D186" s="92" t="str">
        <x:v>卷材复合覆膜、圆刀模切、排废分条、检验和包装。</x:v>
      </x:c>
      <x:c r="E186" s="93" t="n">
        <x:v>1</x:v>
      </x:c>
      <x:c r="F186" s="92" t="str">
        <x:v>DCU30</x:v>
      </x:c>
      <x:c r="G186" s="92" t="str">
        <x:v>多层材料复合覆膜</x:v>
      </x:c>
      <x:c r="H186" s="92" t="str">
        <x:v>模切/覆膜工艺</x:v>
      </x:c>
      <x:c r="I186" s="94" t="n">
        <x:v>1</x:v>
      </x:c>
      <x:c r="J186" s="92" t="str">
        <x:v>否</x:v>
      </x:c>
      <x:c r="K186" s="92" t="str">
        <x:v>行业典型路线</x:v>
      </x:c>
    </x:row>
    <x:row r="187">
      <x:c r="A187" s="92" t="str">
        <x:v>TPL-DIECUT</x:v>
      </x:c>
      <x:c r="B187" s="92" t="str">
        <x:v>辅材件</x:v>
      </x:c>
      <x:c r="C187" s="92" t="str">
        <x:v>胶带/泡棉模切件</x:v>
      </x:c>
      <x:c r="D187" s="92" t="str">
        <x:v>卷材复合覆膜、圆刀模切、排废分条、检验和包装。</x:v>
      </x:c>
      <x:c r="E187" s="93" t="n">
        <x:v>2</x:v>
      </x:c>
      <x:c r="F187" s="92" t="str">
        <x:v>DCU20</x:v>
      </x:c>
      <x:c r="G187" s="92" t="str">
        <x:v>圆刀模切（卷对卷）</x:v>
      </x:c>
      <x:c r="H187" s="92" t="str">
        <x:v>模切/覆膜工艺</x:v>
      </x:c>
      <x:c r="I187" s="94" t="n">
        <x:v>1</x:v>
      </x:c>
      <x:c r="J187" s="92" t="str">
        <x:v>是</x:v>
      </x:c>
      <x:c r="K187" s="92" t="str"/>
    </x:row>
    <x:row r="188">
      <x:c r="A188" s="92" t="str">
        <x:v>TPL-DIECUT</x:v>
      </x:c>
      <x:c r="B188" s="92" t="str">
        <x:v>辅材件</x:v>
      </x:c>
      <x:c r="C188" s="92" t="str">
        <x:v>胶带/泡棉模切件</x:v>
      </x:c>
      <x:c r="D188" s="92" t="str">
        <x:v>卷材复合覆膜、圆刀模切、排废分条、检验和包装。</x:v>
      </x:c>
      <x:c r="E188" s="93" t="n">
        <x:v>3</x:v>
      </x:c>
      <x:c r="F188" s="92" t="str">
        <x:v>DCU40</x:v>
      </x:c>
      <x:c r="G188" s="92" t="str">
        <x:v>排废/分条</x:v>
      </x:c>
      <x:c r="H188" s="92" t="str">
        <x:v>模切/覆膜工艺</x:v>
      </x:c>
      <x:c r="I188" s="94" t="n">
        <x:v>1</x:v>
      </x:c>
      <x:c r="J188" s="92" t="str">
        <x:v>是</x:v>
      </x:c>
      <x:c r="K188" s="92" t="str"/>
    </x:row>
    <x:row r="189">
      <x:c r="A189" s="92" t="str">
        <x:v>TPL-DIECUT</x:v>
      </x:c>
      <x:c r="B189" s="92" t="str">
        <x:v>辅材件</x:v>
      </x:c>
      <x:c r="C189" s="92" t="str">
        <x:v>胶带/泡棉模切件</x:v>
      </x:c>
      <x:c r="D189" s="92" t="str">
        <x:v>卷材复合覆膜、圆刀模切、排废分条、检验和包装。</x:v>
      </x:c>
      <x:c r="E189" s="93" t="n">
        <x:v>4</x:v>
      </x:c>
      <x:c r="F189" s="92" t="str">
        <x:v>QI10</x:v>
      </x:c>
      <x:c r="G189" s="92" t="str">
        <x:v>外观全检</x:v>
      </x:c>
      <x:c r="H189" s="92" t="str">
        <x:v>质检工序</x:v>
      </x:c>
      <x:c r="I189" s="94" t="n">
        <x:v>1</x:v>
      </x:c>
      <x:c r="J189" s="92" t="str">
        <x:v>是</x:v>
      </x:c>
      <x:c r="K189" s="92" t="str"/>
    </x:row>
    <x:row r="190">
      <x:c r="A190" s="92" t="str">
        <x:v>TPL-DIECUT</x:v>
      </x:c>
      <x:c r="B190" s="92" t="str">
        <x:v>辅材件</x:v>
      </x:c>
      <x:c r="C190" s="92" t="str">
        <x:v>胶带/泡棉模切件</x:v>
      </x:c>
      <x:c r="D190" s="92" t="str">
        <x:v>卷材复合覆膜、圆刀模切、排废分条、检验和包装。</x:v>
      </x:c>
      <x:c r="E190" s="93" t="n">
        <x:v>5</x:v>
      </x:c>
      <x:c r="F190" s="92" t="str">
        <x:v>QI20</x:v>
      </x:c>
      <x:c r="G190" s="92" t="str">
        <x:v>尺寸抽检</x:v>
      </x:c>
      <x:c r="H190" s="92" t="str">
        <x:v>质检工序</x:v>
      </x:c>
      <x:c r="I190" s="94" t="n">
        <x:v>1</x:v>
      </x:c>
      <x:c r="J190" s="92" t="str">
        <x:v>是</x:v>
      </x:c>
      <x:c r="K190" s="92" t="str"/>
    </x:row>
    <x:row r="191">
      <x:c r="A191" s="92" t="str">
        <x:v>TPL-DIECUT</x:v>
      </x:c>
      <x:c r="B191" s="92" t="str">
        <x:v>辅材件</x:v>
      </x:c>
      <x:c r="C191" s="92" t="str">
        <x:v>胶带/泡棉模切件</x:v>
      </x:c>
      <x:c r="D191" s="92" t="str">
        <x:v>卷材复合覆膜、圆刀模切、排废分条、检验和包装。</x:v>
      </x:c>
      <x:c r="E191" s="93" t="n">
        <x:v>6</x:v>
      </x:c>
      <x:c r="F191" s="92" t="str">
        <x:v>PK10</x:v>
      </x:c>
      <x:c r="G191" s="92" t="str">
        <x:v>人工装袋</x:v>
      </x:c>
      <x:c r="H191" s="92" t="str">
        <x:v>包装工序</x:v>
      </x:c>
      <x:c r="I191" s="94" t="n">
        <x:v>1</x:v>
      </x:c>
      <x:c r="J191" s="92" t="str">
        <x:v>是</x:v>
      </x:c>
      <x:c r="K191" s="92" t="str"/>
    </x:row>
    <x:row r="192">
      <x:c r="A192" s="92" t="str">
        <x:v>TPL-DIECUT</x:v>
      </x:c>
      <x:c r="B192" s="92" t="str">
        <x:v>辅材件</x:v>
      </x:c>
      <x:c r="C192" s="92" t="str">
        <x:v>胶带/泡棉模切件</x:v>
      </x:c>
      <x:c r="D192" s="92" t="str">
        <x:v>卷材复合覆膜、圆刀模切、排废分条、检验和包装。</x:v>
      </x:c>
      <x:c r="E192" s="93" t="n">
        <x:v>7</x:v>
      </x:c>
      <x:c r="F192" s="92" t="str">
        <x:v>PK40</x:v>
      </x:c>
      <x:c r="G192" s="92" t="str">
        <x:v>装箱</x:v>
      </x:c>
      <x:c r="H192" s="92" t="str">
        <x:v>包装工序</x:v>
      </x:c>
      <x:c r="I192" s="94" t="n">
        <x:v>1</x:v>
      </x:c>
      <x:c r="J192" s="92" t="str">
        <x:v>是</x:v>
      </x:c>
      <x:c r="K192" s="92" t="str"/>
    </x:row>
    <x:row r="193">
      <x:c r="A193" s="92" t="str">
        <x:v>TPL-PACK</x:v>
      </x:c>
      <x:c r="B193" s="92" t="str">
        <x:v>电池/高压零件</x:v>
      </x:c>
      <x:c r="C193" s="92" t="str">
        <x:v>动力电池PACK装配</x:v>
      </x:c>
      <x:c r="D193" s="92" t="str">
        <x:v>电芯分选、堆叠压紧、汇流排清洗焊接、涂胶、气密和EOL。</x:v>
      </x:c>
      <x:c r="E193" s="93" t="n">
        <x:v>1</x:v>
      </x:c>
      <x:c r="F193" s="92" t="str">
        <x:v>BA10</x:v>
      </x:c>
      <x:c r="G193" s="92" t="str">
        <x:v>电芯OCV/ACIR分选</x:v>
      </x:c>
      <x:c r="H193" s="92" t="str">
        <x:v>动力电池模组/PACK装配工艺</x:v>
      </x:c>
      <x:c r="I193" s="94" t="n">
        <x:v>1</x:v>
      </x:c>
      <x:c r="J193" s="92" t="str">
        <x:v>是</x:v>
      </x:c>
      <x:c r="K193" s="92" t="str">
        <x:v>现有底库典型路线</x:v>
      </x:c>
    </x:row>
    <x:row r="194">
      <x:c r="A194" s="92" t="str">
        <x:v>TPL-PACK</x:v>
      </x:c>
      <x:c r="B194" s="92" t="str">
        <x:v>电池/高压零件</x:v>
      </x:c>
      <x:c r="C194" s="92" t="str">
        <x:v>动力电池PACK装配</x:v>
      </x:c>
      <x:c r="D194" s="92" t="str">
        <x:v>电芯分选、堆叠压紧、汇流排清洗焊接、涂胶、气密和EOL。</x:v>
      </x:c>
      <x:c r="E194" s="93" t="n">
        <x:v>2</x:v>
      </x:c>
      <x:c r="F194" s="92" t="str">
        <x:v>BA20</x:v>
      </x:c>
      <x:c r="G194" s="92" t="str">
        <x:v>电芯堆叠/模组压紧</x:v>
      </x:c>
      <x:c r="H194" s="92" t="str">
        <x:v>动力电池模组/PACK装配工艺</x:v>
      </x:c>
      <x:c r="I194" s="94" t="n">
        <x:v>1</x:v>
      </x:c>
      <x:c r="J194" s="92" t="str">
        <x:v>是</x:v>
      </x:c>
      <x:c r="K194" s="92" t="str"/>
    </x:row>
    <x:row r="195">
      <x:c r="A195" s="92" t="str">
        <x:v>TPL-PACK</x:v>
      </x:c>
      <x:c r="B195" s="92" t="str">
        <x:v>电池/高压零件</x:v>
      </x:c>
      <x:c r="C195" s="92" t="str">
        <x:v>动力电池PACK装配</x:v>
      </x:c>
      <x:c r="D195" s="92" t="str">
        <x:v>电芯分选、堆叠压紧、汇流排清洗焊接、涂胶、气密和EOL。</x:v>
      </x:c>
      <x:c r="E195" s="93" t="n">
        <x:v>3</x:v>
      </x:c>
      <x:c r="F195" s="92" t="str">
        <x:v>BA30</x:v>
      </x:c>
      <x:c r="G195" s="92" t="str">
        <x:v>极柱/汇流排激光清洗</x:v>
      </x:c>
      <x:c r="H195" s="92" t="str">
        <x:v>动力电池模组/PACK装配工艺</x:v>
      </x:c>
      <x:c r="I195" s="94" t="n">
        <x:v>1</x:v>
      </x:c>
      <x:c r="J195" s="92" t="str">
        <x:v>是</x:v>
      </x:c>
      <x:c r="K195" s="92" t="str"/>
    </x:row>
    <x:row r="196">
      <x:c r="A196" s="92" t="str">
        <x:v>TPL-PACK</x:v>
      </x:c>
      <x:c r="B196" s="92" t="str">
        <x:v>电池/高压零件</x:v>
      </x:c>
      <x:c r="C196" s="92" t="str">
        <x:v>动力电池PACK装配</x:v>
      </x:c>
      <x:c r="D196" s="92" t="str">
        <x:v>电芯分选、堆叠压紧、汇流排清洗焊接、涂胶、气密和EOL。</x:v>
      </x:c>
      <x:c r="E196" s="93" t="n">
        <x:v>4</x:v>
      </x:c>
      <x:c r="F196" s="92" t="str">
        <x:v>BA40</x:v>
      </x:c>
      <x:c r="G196" s="92" t="str">
        <x:v>汇流排激光焊接</x:v>
      </x:c>
      <x:c r="H196" s="92" t="str">
        <x:v>动力电池模组/PACK装配工艺</x:v>
      </x:c>
      <x:c r="I196" s="94" t="n">
        <x:v>1</x:v>
      </x:c>
      <x:c r="J196" s="92" t="str">
        <x:v>是</x:v>
      </x:c>
      <x:c r="K196" s="92" t="str"/>
    </x:row>
    <x:row r="197">
      <x:c r="A197" s="92" t="str">
        <x:v>TPL-PACK</x:v>
      </x:c>
      <x:c r="B197" s="92" t="str">
        <x:v>电池/高压零件</x:v>
      </x:c>
      <x:c r="C197" s="92" t="str">
        <x:v>动力电池PACK装配</x:v>
      </x:c>
      <x:c r="D197" s="92" t="str">
        <x:v>电芯分选、堆叠压紧、汇流排清洗焊接、涂胶、气密和EOL。</x:v>
      </x:c>
      <x:c r="E197" s="93" t="n">
        <x:v>5</x:v>
      </x:c>
      <x:c r="F197" s="92" t="str">
        <x:v>BA50</x:v>
      </x:c>
      <x:c r="G197" s="92" t="str">
        <x:v>电池包涂胶/导热胶灌注</x:v>
      </x:c>
      <x:c r="H197" s="92" t="str">
        <x:v>动力电池模组/PACK装配工艺</x:v>
      </x:c>
      <x:c r="I197" s="94" t="n">
        <x:v>1</x:v>
      </x:c>
      <x:c r="J197" s="92" t="str">
        <x:v>是</x:v>
      </x:c>
      <x:c r="K197" s="92" t="str"/>
    </x:row>
    <x:row r="198">
      <x:c r="A198" s="92" t="str">
        <x:v>TPL-PACK</x:v>
      </x:c>
      <x:c r="B198" s="92" t="str">
        <x:v>电池/高压零件</x:v>
      </x:c>
      <x:c r="C198" s="92" t="str">
        <x:v>动力电池PACK装配</x:v>
      </x:c>
      <x:c r="D198" s="92" t="str">
        <x:v>电芯分选、堆叠压紧、汇流排清洗焊接、涂胶、气密和EOL。</x:v>
      </x:c>
      <x:c r="E198" s="93" t="n">
        <x:v>6</x:v>
      </x:c>
      <x:c r="F198" s="92" t="str">
        <x:v>BA60</x:v>
      </x:c>
      <x:c r="G198" s="92" t="str">
        <x:v>PACK气密测试</x:v>
      </x:c>
      <x:c r="H198" s="92" t="str">
        <x:v>动力电池模组/PACK装配工艺</x:v>
      </x:c>
      <x:c r="I198" s="94" t="n">
        <x:v>1</x:v>
      </x:c>
      <x:c r="J198" s="92" t="str">
        <x:v>是</x:v>
      </x:c>
      <x:c r="K198" s="92" t="str"/>
    </x:row>
    <x:row r="199">
      <x:c r="A199" s="92" t="str">
        <x:v>TPL-PACK</x:v>
      </x:c>
      <x:c r="B199" s="92" t="str">
        <x:v>电池/高压零件</x:v>
      </x:c>
      <x:c r="C199" s="92" t="str">
        <x:v>动力电池PACK装配</x:v>
      </x:c>
      <x:c r="D199" s="92" t="str">
        <x:v>电芯分选、堆叠压紧、汇流排清洗焊接、涂胶、气密和EOL。</x:v>
      </x:c>
      <x:c r="E199" s="93" t="n">
        <x:v>7</x:v>
      </x:c>
      <x:c r="F199" s="92" t="str">
        <x:v>BA70</x:v>
      </x:c>
      <x:c r="G199" s="92" t="str">
        <x:v>PACK EOL绝缘/耐压/功能测试</x:v>
      </x:c>
      <x:c r="H199" s="92" t="str">
        <x:v>动力电池模组/PACK装配工艺</x:v>
      </x:c>
      <x:c r="I199" s="94" t="n">
        <x:v>1</x:v>
      </x:c>
      <x:c r="J199" s="92" t="str">
        <x:v>是</x:v>
      </x:c>
      <x:c r="K199" s="92" t="str"/>
    </x:row>
    <x:row r="200">
      <x:c r="A200" s="92" t="str">
        <x:v>TPL-PACK</x:v>
      </x:c>
      <x:c r="B200" s="92" t="str">
        <x:v>电池/高压零件</x:v>
      </x:c>
      <x:c r="C200" s="92" t="str">
        <x:v>动力电池PACK装配</x:v>
      </x:c>
      <x:c r="D200" s="92" t="str">
        <x:v>电芯分选、堆叠压紧、汇流排清洗焊接、涂胶、气密和EOL。</x:v>
      </x:c>
      <x:c r="E200" s="93" t="n">
        <x:v>8</x:v>
      </x:c>
      <x:c r="F200" s="92" t="str">
        <x:v>PK20</x:v>
      </x:c>
      <x:c r="G200" s="92" t="str">
        <x:v>贴标签</x:v>
      </x:c>
      <x:c r="H200" s="92" t="str">
        <x:v>包装工序</x:v>
      </x:c>
      <x:c r="I200" s="94" t="n">
        <x:v>1</x:v>
      </x:c>
      <x:c r="J200" s="92" t="str">
        <x:v>是</x:v>
      </x:c>
      <x:c r="K200" s="92" t="str"/>
    </x:row>
    <x:row r="201">
      <x:c r="A201" s="92" t="str">
        <x:v>TPL-PACK</x:v>
      </x:c>
      <x:c r="B201" s="92" t="str">
        <x:v>电池/高压零件</x:v>
      </x:c>
      <x:c r="C201" s="92" t="str">
        <x:v>动力电池PACK装配</x:v>
      </x:c>
      <x:c r="D201" s="92" t="str">
        <x:v>电芯分选、堆叠压紧、汇流排清洗焊接、涂胶、气密和EOL。</x:v>
      </x:c>
      <x:c r="E201" s="93" t="n">
        <x:v>9</x:v>
      </x:c>
      <x:c r="F201" s="92" t="str">
        <x:v>PK40</x:v>
      </x:c>
      <x:c r="G201" s="92" t="str">
        <x:v>装箱</x:v>
      </x:c>
      <x:c r="H201" s="92" t="str">
        <x:v>包装工序</x:v>
      </x:c>
      <x:c r="I201" s="94" t="n">
        <x:v>1</x:v>
      </x:c>
      <x:c r="J201" s="92" t="str">
        <x:v>是</x:v>
      </x:c>
      <x:c r="K201" s="92" t="str"/>
    </x:row>
    <x:row r="202">
      <x:c r="A202" s="92" t="str">
        <x:v>TPL-MOTOR</x:v>
      </x:c>
      <x:c r="B202" s="92" t="str">
        <x:v>电驱零件</x:v>
      </x:c>
      <x:c r="C202" s="92" t="str">
        <x:v>驱动电机总成</x:v>
      </x:c>
      <x:c r="D202" s="92" t="str">
        <x:v>定子绕线、浸漆、轴承与磁钢装配、动平衡、总成测试和包装。</x:v>
      </x:c>
      <x:c r="E202" s="93" t="n">
        <x:v>1</x:v>
      </x:c>
      <x:c r="F202" s="92" t="str">
        <x:v>EM10</x:v>
      </x:c>
      <x:c r="G202" s="92" t="str">
        <x:v>定子绕线/嵌线</x:v>
      </x:c>
      <x:c r="H202" s="92" t="str">
        <x:v>驱动电机制造工艺</x:v>
      </x:c>
      <x:c r="I202" s="94" t="n">
        <x:v>1</x:v>
      </x:c>
      <x:c r="J202" s="92" t="str">
        <x:v>是</x:v>
      </x:c>
      <x:c r="K202" s="92" t="str">
        <x:v>现有底库典型路线</x:v>
      </x:c>
    </x:row>
    <x:row r="203">
      <x:c r="A203" s="92" t="str">
        <x:v>TPL-MOTOR</x:v>
      </x:c>
      <x:c r="B203" s="92" t="str">
        <x:v>电驱零件</x:v>
      </x:c>
      <x:c r="C203" s="92" t="str">
        <x:v>驱动电机总成</x:v>
      </x:c>
      <x:c r="D203" s="92" t="str">
        <x:v>定子绕线、浸漆、轴承与磁钢装配、动平衡、总成测试和包装。</x:v>
      </x:c>
      <x:c r="E203" s="93" t="n">
        <x:v>2</x:v>
      </x:c>
      <x:c r="F203" s="92" t="str">
        <x:v>EM20</x:v>
      </x:c>
      <x:c r="G203" s="92" t="str">
        <x:v>定子整形/绑扎</x:v>
      </x:c>
      <x:c r="H203" s="92" t="str">
        <x:v>驱动电机制造工艺</x:v>
      </x:c>
      <x:c r="I203" s="94" t="n">
        <x:v>1</x:v>
      </x:c>
      <x:c r="J203" s="92" t="str">
        <x:v>是</x:v>
      </x:c>
      <x:c r="K203" s="92" t="str"/>
    </x:row>
    <x:row r="204">
      <x:c r="A204" s="92" t="str">
        <x:v>TPL-MOTOR</x:v>
      </x:c>
      <x:c r="B204" s="92" t="str">
        <x:v>电驱零件</x:v>
      </x:c>
      <x:c r="C204" s="92" t="str">
        <x:v>驱动电机总成</x:v>
      </x:c>
      <x:c r="D204" s="92" t="str">
        <x:v>定子绕线、浸漆、轴承与磁钢装配、动平衡、总成测试和包装。</x:v>
      </x:c>
      <x:c r="E204" s="93" t="n">
        <x:v>3</x:v>
      </x:c>
      <x:c r="F204" s="92" t="str">
        <x:v>EM30</x:v>
      </x:c>
      <x:c r="G204" s="92" t="str">
        <x:v>浸漆/滴漆固化</x:v>
      </x:c>
      <x:c r="H204" s="92" t="str">
        <x:v>驱动电机制造工艺</x:v>
      </x:c>
      <x:c r="I204" s="94" t="n">
        <x:v>1</x:v>
      </x:c>
      <x:c r="J204" s="92" t="str">
        <x:v>是</x:v>
      </x:c>
      <x:c r="K204" s="92" t="str"/>
    </x:row>
    <x:row r="205">
      <x:c r="A205" s="92" t="str">
        <x:v>TPL-MOTOR</x:v>
      </x:c>
      <x:c r="B205" s="92" t="str">
        <x:v>电驱零件</x:v>
      </x:c>
      <x:c r="C205" s="92" t="str">
        <x:v>驱动电机总成</x:v>
      </x:c>
      <x:c r="D205" s="92" t="str">
        <x:v>定子绕线、浸漆、轴承与磁钢装配、动平衡、总成测试和包装。</x:v>
      </x:c>
      <x:c r="E205" s="93" t="n">
        <x:v>4</x:v>
      </x:c>
      <x:c r="F205" s="92" t="str">
        <x:v>EM40</x:v>
      </x:c>
      <x:c r="G205" s="92" t="str">
        <x:v>轴承压装</x:v>
      </x:c>
      <x:c r="H205" s="92" t="str">
        <x:v>驱动电机制造工艺</x:v>
      </x:c>
      <x:c r="I205" s="94" t="n">
        <x:v>1</x:v>
      </x:c>
      <x:c r="J205" s="92" t="str">
        <x:v>是</x:v>
      </x:c>
      <x:c r="K205" s="92" t="str"/>
    </x:row>
    <x:row r="206">
      <x:c r="A206" s="92" t="str">
        <x:v>TPL-MOTOR</x:v>
      </x:c>
      <x:c r="B206" s="92" t="str">
        <x:v>电驱零件</x:v>
      </x:c>
      <x:c r="C206" s="92" t="str">
        <x:v>驱动电机总成</x:v>
      </x:c>
      <x:c r="D206" s="92" t="str">
        <x:v>定子绕线、浸漆、轴承与磁钢装配、动平衡、总成测试和包装。</x:v>
      </x:c>
      <x:c r="E206" s="93" t="n">
        <x:v>5</x:v>
      </x:c>
      <x:c r="F206" s="92" t="str">
        <x:v>EM50</x:v>
      </x:c>
      <x:c r="G206" s="92" t="str">
        <x:v>转子压装</x:v>
      </x:c>
      <x:c r="H206" s="92" t="str">
        <x:v>驱动电机制造工艺</x:v>
      </x:c>
      <x:c r="I206" s="94" t="n">
        <x:v>1</x:v>
      </x:c>
      <x:c r="J206" s="92" t="str">
        <x:v>是</x:v>
      </x:c>
      <x:c r="K206" s="92" t="str"/>
    </x:row>
    <x:row r="207">
      <x:c r="A207" s="92" t="str">
        <x:v>TPL-MOTOR</x:v>
      </x:c>
      <x:c r="B207" s="92" t="str">
        <x:v>电驱零件</x:v>
      </x:c>
      <x:c r="C207" s="92" t="str">
        <x:v>驱动电机总成</x:v>
      </x:c>
      <x:c r="D207" s="92" t="str">
        <x:v>定子绕线、浸漆、轴承与磁钢装配、动平衡、总成测试和包装。</x:v>
      </x:c>
      <x:c r="E207" s="93" t="n">
        <x:v>6</x:v>
      </x:c>
      <x:c r="F207" s="92" t="str">
        <x:v>EM60</x:v>
      </x:c>
      <x:c r="G207" s="92" t="str">
        <x:v>磁钢插装/粘接</x:v>
      </x:c>
      <x:c r="H207" s="92" t="str">
        <x:v>驱动电机制造工艺</x:v>
      </x:c>
      <x:c r="I207" s="94" t="n">
        <x:v>1</x:v>
      </x:c>
      <x:c r="J207" s="92" t="str">
        <x:v>是</x:v>
      </x:c>
      <x:c r="K207" s="92" t="str"/>
    </x:row>
    <x:row r="208">
      <x:c r="A208" s="92" t="str">
        <x:v>TPL-MOTOR</x:v>
      </x:c>
      <x:c r="B208" s="92" t="str">
        <x:v>电驱零件</x:v>
      </x:c>
      <x:c r="C208" s="92" t="str">
        <x:v>驱动电机总成</x:v>
      </x:c>
      <x:c r="D208" s="92" t="str">
        <x:v>定子绕线、浸漆、轴承与磁钢装配、动平衡、总成测试和包装。</x:v>
      </x:c>
      <x:c r="E208" s="93" t="n">
        <x:v>7</x:v>
      </x:c>
      <x:c r="F208" s="92" t="str">
        <x:v>EM70</x:v>
      </x:c>
      <x:c r="G208" s="92" t="str">
        <x:v>转子动平衡</x:v>
      </x:c>
      <x:c r="H208" s="92" t="str">
        <x:v>驱动电机制造工艺</x:v>
      </x:c>
      <x:c r="I208" s="94" t="n">
        <x:v>1</x:v>
      </x:c>
      <x:c r="J208" s="92" t="str">
        <x:v>是</x:v>
      </x:c>
      <x:c r="K208" s="92" t="str"/>
    </x:row>
    <x:row r="209">
      <x:c r="A209" s="92" t="str">
        <x:v>TPL-MOTOR</x:v>
      </x:c>
      <x:c r="B209" s="92" t="str">
        <x:v>电驱零件</x:v>
      </x:c>
      <x:c r="C209" s="92" t="str">
        <x:v>驱动电机总成</x:v>
      </x:c>
      <x:c r="D209" s="92" t="str">
        <x:v>定子绕线、浸漆、轴承与磁钢装配、动平衡、总成测试和包装。</x:v>
      </x:c>
      <x:c r="E209" s="93" t="n">
        <x:v>8</x:v>
      </x:c>
      <x:c r="F209" s="92" t="str">
        <x:v>QI50</x:v>
      </x:c>
      <x:c r="G209" s="92" t="str">
        <x:v>EOL功能测试</x:v>
      </x:c>
      <x:c r="H209" s="92" t="str">
        <x:v>质检工序</x:v>
      </x:c>
      <x:c r="I209" s="94" t="n">
        <x:v>1</x:v>
      </x:c>
      <x:c r="J209" s="92" t="str">
        <x:v>是</x:v>
      </x:c>
      <x:c r="K209" s="92" t="str"/>
    </x:row>
    <x:row r="210">
      <x:c r="A210" s="92" t="str">
        <x:v>TPL-MOTOR</x:v>
      </x:c>
      <x:c r="B210" s="92" t="str">
        <x:v>电驱零件</x:v>
      </x:c>
      <x:c r="C210" s="92" t="str">
        <x:v>驱动电机总成</x:v>
      </x:c>
      <x:c r="D210" s="92" t="str">
        <x:v>定子绕线、浸漆、轴承与磁钢装配、动平衡、总成测试和包装。</x:v>
      </x:c>
      <x:c r="E210" s="93" t="n">
        <x:v>9</x:v>
      </x:c>
      <x:c r="F210" s="92" t="str">
        <x:v>PK40</x:v>
      </x:c>
      <x:c r="G210" s="92" t="str">
        <x:v>装箱</x:v>
      </x:c>
      <x:c r="H210" s="92" t="str">
        <x:v>包装工序</x:v>
      </x:c>
      <x:c r="I210" s="94" t="n">
        <x:v>1</x:v>
      </x:c>
      <x:c r="J210" s="92" t="str">
        <x:v>是</x:v>
      </x:c>
      <x:c r="K210" s="92" t="str"/>
    </x:row>
    <x:row r="211">
      <x:c r="A211" s="92" t="str">
        <x:v>TPL-FILM-PROTECT</x:v>
      </x:c>
      <x:c r="B211" s="92" t="str">
        <x:v>表面处理</x:v>
      </x:c>
      <x:c r="C211" s="92" t="str">
        <x:v>临时保护膜贴覆</x:v>
      </x:c>
      <x:c r="D211" s="92" t="str">
        <x:v>零件清洁、贴保护膜、外观检验和包装。</x:v>
      </x:c>
      <x:c r="E211" s="92" t="n">
        <x:v>1</x:v>
      </x:c>
      <x:c r="F211" s="92" t="str">
        <x:v>MA100</x:v>
      </x:c>
      <x:c r="G211" s="92" t="str">
        <x:v>零件清洁</x:v>
      </x:c>
      <x:c r="H211" s="92" t="str">
        <x:v>人工工序</x:v>
      </x:c>
      <x:c r="I211" s="92" t="n">
        <x:v>1</x:v>
      </x:c>
      <x:c r="J211" s="92" t="str">
        <x:v>是</x:v>
      </x:c>
      <x:c r="K211" s="92" t="str">
        <x:v>3M汽车表面保护膜资料+典型路线</x:v>
      </x:c>
    </x:row>
    <x:row r="212">
      <x:c r="A212" s="92" t="str">
        <x:v>TPL-FILM-PROTECT</x:v>
      </x:c>
      <x:c r="B212" s="92" t="str">
        <x:v>表面处理</x:v>
      </x:c>
      <x:c r="C212" s="92" t="str">
        <x:v>临时保护膜贴覆</x:v>
      </x:c>
      <x:c r="D212" s="92" t="str">
        <x:v>零件清洁、贴保护膜、外观检验和包装。</x:v>
      </x:c>
      <x:c r="E212" s="92" t="n">
        <x:v>2</x:v>
      </x:c>
      <x:c r="F212" s="92" t="str">
        <x:v>FM10</x:v>
      </x:c>
      <x:c r="G212" s="92" t="str">
        <x:v>贴保护膜</x:v>
      </x:c>
      <x:c r="H212" s="92" t="str">
        <x:v>贴膜工序</x:v>
      </x:c>
      <x:c r="I212" s="92" t="n">
        <x:v>1</x:v>
      </x:c>
      <x:c r="J212" s="92" t="str">
        <x:v>是</x:v>
      </x:c>
      <x:c r="K212" s="92" t="str"/>
    </x:row>
    <x:row r="213">
      <x:c r="A213" s="92" t="str">
        <x:v>TPL-FILM-PROTECT</x:v>
      </x:c>
      <x:c r="B213" s="92" t="str">
        <x:v>表面处理</x:v>
      </x:c>
      <x:c r="C213" s="92" t="str">
        <x:v>临时保护膜贴覆</x:v>
      </x:c>
      <x:c r="D213" s="92" t="str">
        <x:v>零件清洁、贴保护膜、外观检验和包装。</x:v>
      </x:c>
      <x:c r="E213" s="92" t="n">
        <x:v>3</x:v>
      </x:c>
      <x:c r="F213" s="92" t="str">
        <x:v>QI10</x:v>
      </x:c>
      <x:c r="G213" s="92" t="str">
        <x:v>外观全检</x:v>
      </x:c>
      <x:c r="H213" s="92" t="str">
        <x:v>质检工序</x:v>
      </x:c>
      <x:c r="I213" s="92" t="n">
        <x:v>1</x:v>
      </x:c>
      <x:c r="J213" s="92" t="str">
        <x:v>是</x:v>
      </x:c>
      <x:c r="K213" s="92" t="str"/>
    </x:row>
    <x:row r="214">
      <x:c r="A214" s="92" t="str">
        <x:v>TPL-FILM-PROTECT</x:v>
      </x:c>
      <x:c r="B214" s="92" t="str">
        <x:v>表面处理</x:v>
      </x:c>
      <x:c r="C214" s="92" t="str">
        <x:v>临时保护膜贴覆</x:v>
      </x:c>
      <x:c r="D214" s="92" t="str">
        <x:v>零件清洁、贴保护膜、外观检验和包装。</x:v>
      </x:c>
      <x:c r="E214" s="92" t="n">
        <x:v>4</x:v>
      </x:c>
      <x:c r="F214" s="92" t="str">
        <x:v>PK40</x:v>
      </x:c>
      <x:c r="G214" s="92" t="str">
        <x:v>装箱</x:v>
      </x:c>
      <x:c r="H214" s="92" t="str">
        <x:v>包装工序</x:v>
      </x:c>
      <x:c r="I214" s="92" t="n">
        <x:v>1</x:v>
      </x:c>
      <x:c r="J214" s="92" t="str">
        <x:v>是</x:v>
      </x:c>
      <x:c r="K214" s="92" t="str"/>
    </x:row>
    <x:row r="215">
      <x:c r="A215" s="92" t="str">
        <x:v>TPL-FILM-DECOR</x:v>
      </x:c>
      <x:c r="B215" s="92" t="str">
        <x:v>表面处理</x:v>
      </x:c>
      <x:c r="C215" s="92" t="str">
        <x:v>装饰膜/改色膜贴覆</x:v>
      </x:c>
      <x:c r="D215" s="92" t="str">
        <x:v>零件清洁、贴装饰/改色膜、外观检验和包装。</x:v>
      </x:c>
      <x:c r="E215" s="92" t="n">
        <x:v>1</x:v>
      </x:c>
      <x:c r="F215" s="92" t="str">
        <x:v>MA100</x:v>
      </x:c>
      <x:c r="G215" s="92" t="str">
        <x:v>零件清洁</x:v>
      </x:c>
      <x:c r="H215" s="92" t="str">
        <x:v>人工工序</x:v>
      </x:c>
      <x:c r="I215" s="92" t="n">
        <x:v>1</x:v>
      </x:c>
      <x:c r="J215" s="92" t="str">
        <x:v>是</x:v>
      </x:c>
      <x:c r="K215" s="92" t="str">
        <x:v>3M汽车膜资料+典型路线</x:v>
      </x:c>
    </x:row>
    <x:row r="216">
      <x:c r="A216" s="92" t="str">
        <x:v>TPL-FILM-DECOR</x:v>
      </x:c>
      <x:c r="B216" s="92" t="str">
        <x:v>表面处理</x:v>
      </x:c>
      <x:c r="C216" s="92" t="str">
        <x:v>装饰膜/改色膜贴覆</x:v>
      </x:c>
      <x:c r="D216" s="92" t="str">
        <x:v>零件清洁、贴装饰/改色膜、外观检验和包装。</x:v>
      </x:c>
      <x:c r="E216" s="92" t="n">
        <x:v>2</x:v>
      </x:c>
      <x:c r="F216" s="92" t="str">
        <x:v>FM20</x:v>
      </x:c>
      <x:c r="G216" s="92" t="str">
        <x:v>贴装饰/改色膜</x:v>
      </x:c>
      <x:c r="H216" s="92" t="str">
        <x:v>贴膜工序</x:v>
      </x:c>
      <x:c r="I216" s="92" t="n">
        <x:v>1</x:v>
      </x:c>
      <x:c r="J216" s="92" t="str">
        <x:v>是</x:v>
      </x:c>
      <x:c r="K216" s="92" t="str"/>
    </x:row>
    <x:row r="217">
      <x:c r="A217" s="92" t="str">
        <x:v>TPL-FILM-DECOR</x:v>
      </x:c>
      <x:c r="B217" s="92" t="str">
        <x:v>表面处理</x:v>
      </x:c>
      <x:c r="C217" s="92" t="str">
        <x:v>装饰膜/改色膜贴覆</x:v>
      </x:c>
      <x:c r="D217" s="92" t="str">
        <x:v>零件清洁、贴装饰/改色膜、外观检验和包装。</x:v>
      </x:c>
      <x:c r="E217" s="92" t="n">
        <x:v>3</x:v>
      </x:c>
      <x:c r="F217" s="92" t="str">
        <x:v>QI10</x:v>
      </x:c>
      <x:c r="G217" s="92" t="str">
        <x:v>外观全检</x:v>
      </x:c>
      <x:c r="H217" s="92" t="str">
        <x:v>质检工序</x:v>
      </x:c>
      <x:c r="I217" s="92" t="n">
        <x:v>1</x:v>
      </x:c>
      <x:c r="J217" s="92" t="str">
        <x:v>是</x:v>
      </x:c>
      <x:c r="K217" s="92" t="str"/>
    </x:row>
    <x:row r="218">
      <x:c r="A218" s="92" t="str">
        <x:v>TPL-FILM-DECOR</x:v>
      </x:c>
      <x:c r="B218" s="92" t="str">
        <x:v>表面处理</x:v>
      </x:c>
      <x:c r="C218" s="92" t="str">
        <x:v>装饰膜/改色膜贴覆</x:v>
      </x:c>
      <x:c r="D218" s="92" t="str">
        <x:v>零件清洁、贴装饰/改色膜、外观检验和包装。</x:v>
      </x:c>
      <x:c r="E218" s="92" t="n">
        <x:v>4</x:v>
      </x:c>
      <x:c r="F218" s="92" t="str">
        <x:v>PK40</x:v>
      </x:c>
      <x:c r="G218" s="92" t="str">
        <x:v>装箱</x:v>
      </x:c>
      <x:c r="H218" s="92" t="str">
        <x:v>包装工序</x:v>
      </x:c>
      <x:c r="I218" s="92" t="n">
        <x:v>1</x:v>
      </x:c>
      <x:c r="J218" s="92" t="str">
        <x:v>是</x:v>
      </x:c>
      <x:c r="K218" s="92" t="str"/>
    </x:row>
    <x:row r="219">
      <x:c r="A219" s="92" t="str">
        <x:v>TPL-FILM-PPF</x:v>
      </x:c>
      <x:c r="B219" s="92" t="str">
        <x:v>表面处理</x:v>
      </x:c>
      <x:c r="C219" s="92" t="str">
        <x:v>TPU保护膜贴覆</x:v>
      </x:c>
      <x:c r="D219" s="92" t="str">
        <x:v>零件清洁、贴TPU保护膜、外观检验和包装。</x:v>
      </x:c>
      <x:c r="E219" s="92" t="n">
        <x:v>1</x:v>
      </x:c>
      <x:c r="F219" s="92" t="str">
        <x:v>MA100</x:v>
      </x:c>
      <x:c r="G219" s="92" t="str">
        <x:v>零件清洁</x:v>
      </x:c>
      <x:c r="H219" s="92" t="str">
        <x:v>人工工序</x:v>
      </x:c>
      <x:c r="I219" s="92" t="n">
        <x:v>1</x:v>
      </x:c>
      <x:c r="J219" s="92" t="str">
        <x:v>是</x:v>
      </x:c>
      <x:c r="K219" s="92" t="str">
        <x:v>3M PPF技术资料+典型路线</x:v>
      </x:c>
    </x:row>
    <x:row r="220">
      <x:c r="A220" s="92" t="str">
        <x:v>TPL-FILM-PPF</x:v>
      </x:c>
      <x:c r="B220" s="92" t="str">
        <x:v>表面处理</x:v>
      </x:c>
      <x:c r="C220" s="92" t="str">
        <x:v>TPU保护膜贴覆</x:v>
      </x:c>
      <x:c r="D220" s="92" t="str">
        <x:v>零件清洁、贴TPU保护膜、外观检验和包装。</x:v>
      </x:c>
      <x:c r="E220" s="92" t="n">
        <x:v>2</x:v>
      </x:c>
      <x:c r="F220" s="92" t="str">
        <x:v>FM30</x:v>
      </x:c>
      <x:c r="G220" s="92" t="str">
        <x:v>贴TPU保护膜</x:v>
      </x:c>
      <x:c r="H220" s="92" t="str">
        <x:v>贴膜工序</x:v>
      </x:c>
      <x:c r="I220" s="92" t="n">
        <x:v>1</x:v>
      </x:c>
      <x:c r="J220" s="92" t="str">
        <x:v>是</x:v>
      </x:c>
      <x:c r="K220" s="92" t="str"/>
    </x:row>
    <x:row r="221">
      <x:c r="A221" s="92" t="str">
        <x:v>TPL-FILM-PPF</x:v>
      </x:c>
      <x:c r="B221" s="92" t="str">
        <x:v>表面处理</x:v>
      </x:c>
      <x:c r="C221" s="92" t="str">
        <x:v>TPU保护膜贴覆</x:v>
      </x:c>
      <x:c r="D221" s="92" t="str">
        <x:v>零件清洁、贴TPU保护膜、外观检验和包装。</x:v>
      </x:c>
      <x:c r="E221" s="92" t="n">
        <x:v>3</x:v>
      </x:c>
      <x:c r="F221" s="92" t="str">
        <x:v>QI10</x:v>
      </x:c>
      <x:c r="G221" s="92" t="str">
        <x:v>外观全检</x:v>
      </x:c>
      <x:c r="H221" s="92" t="str">
        <x:v>质检工序</x:v>
      </x:c>
      <x:c r="I221" s="92" t="n">
        <x:v>1</x:v>
      </x:c>
      <x:c r="J221" s="92" t="str">
        <x:v>是</x:v>
      </x:c>
      <x:c r="K221" s="92" t="str"/>
    </x:row>
    <x:row r="222">
      <x:c r="A222" s="92" t="str">
        <x:v>TPL-FILM-PPF</x:v>
      </x:c>
      <x:c r="B222" s="92" t="str">
        <x:v>表面处理</x:v>
      </x:c>
      <x:c r="C222" s="92" t="str">
        <x:v>TPU保护膜贴覆</x:v>
      </x:c>
      <x:c r="D222" s="92" t="str">
        <x:v>零件清洁、贴TPU保护膜、外观检验和包装。</x:v>
      </x:c>
      <x:c r="E222" s="92" t="n">
        <x:v>4</x:v>
      </x:c>
      <x:c r="F222" s="92" t="str">
        <x:v>PK40</x:v>
      </x:c>
      <x:c r="G222" s="92" t="str">
        <x:v>装箱</x:v>
      </x:c>
      <x:c r="H222" s="92" t="str">
        <x:v>包装工序</x:v>
      </x:c>
      <x:c r="I222" s="92" t="n">
        <x:v>1</x:v>
      </x:c>
      <x:c r="J222" s="92" t="str">
        <x:v>是</x:v>
      </x:c>
      <x:c r="K222" s="92" t="str"/>
    </x:row>
    <x:row r="223">
      <x:c r="A223" s="92" t="str">
        <x:v>TPL-PAINT-PLASTIC</x:v>
      </x:c>
      <x:c r="B223" s="92" t="str">
        <x:v>表面处理</x:v>
      </x:c>
      <x:c r="C223" s="92" t="str">
        <x:v>塑料件喷漆（三涂一烤）</x:v>
      </x:c>
      <x:c r="D223" s="92" t="str">
        <x:v>塑料件清洁活化、底漆、色漆、清漆、固化、检验和包装。</x:v>
      </x:c>
      <x:c r="E223" s="92" t="n">
        <x:v>1</x:v>
      </x:c>
      <x:c r="F223" s="92" t="str">
        <x:v>MA100</x:v>
      </x:c>
      <x:c r="G223" s="92" t="str">
        <x:v>零件清洁</x:v>
      </x:c>
      <x:c r="H223" s="92" t="str">
        <x:v>人工工序</x:v>
      </x:c>
      <x:c r="I223" s="92" t="n">
        <x:v>1</x:v>
      </x:c>
      <x:c r="J223" s="92" t="str">
        <x:v>是</x:v>
      </x:c>
      <x:c r="K223" s="92" t="str">
        <x:v>汽车塑料件典型涂装路线</x:v>
      </x:c>
    </x:row>
    <x:row r="224">
      <x:c r="A224" s="92" t="str">
        <x:v>TPL-PAINT-PLASTIC</x:v>
      </x:c>
      <x:c r="B224" s="92" t="str">
        <x:v>表面处理</x:v>
      </x:c>
      <x:c r="C224" s="92" t="str">
        <x:v>塑料件喷漆（三涂一烤）</x:v>
      </x:c>
      <x:c r="D224" s="92" t="str">
        <x:v>塑料件清洁活化、底漆、色漆、清漆、固化、检验和包装。</x:v>
      </x:c>
      <x:c r="E224" s="92" t="n">
        <x:v>2</x:v>
      </x:c>
      <x:c r="F224" s="92" t="str">
        <x:v>PA60</x:v>
      </x:c>
      <x:c r="G224" s="92" t="str">
        <x:v>塑料件活化/附着底涂</x:v>
      </x:c>
      <x:c r="H224" s="92" t="str">
        <x:v>烤漆/喷漆工艺</x:v>
      </x:c>
      <x:c r="I224" s="92" t="n">
        <x:v>1</x:v>
      </x:c>
      <x:c r="J224" s="92" t="str">
        <x:v>是</x:v>
      </x:c>
      <x:c r="K224" s="92" t="str"/>
    </x:row>
    <x:row r="225">
      <x:c r="A225" s="92" t="str">
        <x:v>TPL-PAINT-PLASTIC</x:v>
      </x:c>
      <x:c r="B225" s="92" t="str">
        <x:v>表面处理</x:v>
      </x:c>
      <x:c r="C225" s="92" t="str">
        <x:v>塑料件喷漆（三涂一烤）</x:v>
      </x:c>
      <x:c r="D225" s="92" t="str">
        <x:v>塑料件清洁活化、底漆、色漆、清漆、固化、检验和包装。</x:v>
      </x:c>
      <x:c r="E225" s="92" t="n">
        <x:v>3</x:v>
      </x:c>
      <x:c r="F225" s="92" t="str">
        <x:v>PA10</x:v>
      </x:c>
      <x:c r="G225" s="92" t="str">
        <x:v>底漆喷涂</x:v>
      </x:c>
      <x:c r="H225" s="92" t="str">
        <x:v>烤漆/喷漆工艺</x:v>
      </x:c>
      <x:c r="I225" s="92" t="n">
        <x:v>1</x:v>
      </x:c>
      <x:c r="J225" s="92" t="str">
        <x:v>是</x:v>
      </x:c>
      <x:c r="K225" s="92" t="str"/>
    </x:row>
    <x:row r="226">
      <x:c r="A226" s="92" t="str">
        <x:v>TPL-PAINT-PLASTIC</x:v>
      </x:c>
      <x:c r="B226" s="92" t="str">
        <x:v>表面处理</x:v>
      </x:c>
      <x:c r="C226" s="92" t="str">
        <x:v>塑料件喷漆（三涂一烤）</x:v>
      </x:c>
      <x:c r="D226" s="92" t="str">
        <x:v>塑料件清洁活化、底漆、色漆、清漆、固化、检验和包装。</x:v>
      </x:c>
      <x:c r="E226" s="92" t="n">
        <x:v>4</x:v>
      </x:c>
      <x:c r="F226" s="92" t="str">
        <x:v>PA20</x:v>
      </x:c>
      <x:c r="G226" s="92" t="str">
        <x:v>色漆喷涂</x:v>
      </x:c>
      <x:c r="H226" s="92" t="str">
        <x:v>烤漆/喷漆工艺</x:v>
      </x:c>
      <x:c r="I226" s="92" t="n">
        <x:v>1</x:v>
      </x:c>
      <x:c r="J226" s="92" t="str">
        <x:v>是</x:v>
      </x:c>
      <x:c r="K226" s="92" t="str"/>
    </x:row>
    <x:row r="227">
      <x:c r="A227" s="92" t="str">
        <x:v>TPL-PAINT-PLASTIC</x:v>
      </x:c>
      <x:c r="B227" s="92" t="str">
        <x:v>表面处理</x:v>
      </x:c>
      <x:c r="C227" s="92" t="str">
        <x:v>塑料件喷漆（三涂一烤）</x:v>
      </x:c>
      <x:c r="D227" s="92" t="str">
        <x:v>塑料件清洁活化、底漆、色漆、清漆、固化、检验和包装。</x:v>
      </x:c>
      <x:c r="E227" s="92" t="n">
        <x:v>5</x:v>
      </x:c>
      <x:c r="F227" s="92" t="str">
        <x:v>PA30</x:v>
      </x:c>
      <x:c r="G227" s="92" t="str">
        <x:v>清漆喷涂</x:v>
      </x:c>
      <x:c r="H227" s="92" t="str">
        <x:v>烤漆/喷漆工艺</x:v>
      </x:c>
      <x:c r="I227" s="92" t="n">
        <x:v>1</x:v>
      </x:c>
      <x:c r="J227" s="92" t="str">
        <x:v>是</x:v>
      </x:c>
      <x:c r="K227" s="92" t="str"/>
    </x:row>
    <x:row r="228">
      <x:c r="A228" s="92" t="str">
        <x:v>TPL-PAINT-PLASTIC</x:v>
      </x:c>
      <x:c r="B228" s="92" t="str">
        <x:v>表面处理</x:v>
      </x:c>
      <x:c r="C228" s="92" t="str">
        <x:v>塑料件喷漆（三涂一烤）</x:v>
      </x:c>
      <x:c r="D228" s="92" t="str">
        <x:v>塑料件清洁活化、底漆、色漆、清漆、固化、检验和包装。</x:v>
      </x:c>
      <x:c r="E228" s="92" t="n">
        <x:v>6</x:v>
      </x:c>
      <x:c r="F228" s="92" t="str">
        <x:v>PA70</x:v>
      </x:c>
      <x:c r="G228" s="92" t="str">
        <x:v>烤漆固化</x:v>
      </x:c>
      <x:c r="H228" s="92" t="str">
        <x:v>烤漆/喷漆工艺</x:v>
      </x:c>
      <x:c r="I228" s="92" t="n">
        <x:v>1</x:v>
      </x:c>
      <x:c r="J228" s="92" t="str">
        <x:v>是</x:v>
      </x:c>
      <x:c r="K228" s="92" t="str"/>
    </x:row>
    <x:row r="229">
      <x:c r="A229" s="92" t="str">
        <x:v>TPL-PAINT-PLASTIC</x:v>
      </x:c>
      <x:c r="B229" s="92" t="str">
        <x:v>表面处理</x:v>
      </x:c>
      <x:c r="C229" s="92" t="str">
        <x:v>塑料件喷漆（三涂一烤）</x:v>
      </x:c>
      <x:c r="D229" s="92" t="str">
        <x:v>塑料件清洁活化、底漆、色漆、清漆、固化、检验和包装。</x:v>
      </x:c>
      <x:c r="E229" s="92" t="n">
        <x:v>7</x:v>
      </x:c>
      <x:c r="F229" s="92" t="str">
        <x:v>QI10</x:v>
      </x:c>
      <x:c r="G229" s="92" t="str">
        <x:v>外观全检</x:v>
      </x:c>
      <x:c r="H229" s="92" t="str">
        <x:v>质检工序</x:v>
      </x:c>
      <x:c r="I229" s="92" t="n">
        <x:v>1</x:v>
      </x:c>
      <x:c r="J229" s="92" t="str">
        <x:v>是</x:v>
      </x:c>
      <x:c r="K229" s="92" t="str"/>
    </x:row>
    <x:row r="230">
      <x:c r="A230" s="92" t="str">
        <x:v>TPL-PAINT-PLASTIC</x:v>
      </x:c>
      <x:c r="B230" s="92" t="str">
        <x:v>表面处理</x:v>
      </x:c>
      <x:c r="C230" s="92" t="str">
        <x:v>塑料件喷漆（三涂一烤）</x:v>
      </x:c>
      <x:c r="D230" s="92" t="str">
        <x:v>塑料件清洁活化、底漆、色漆、清漆、固化、检验和包装。</x:v>
      </x:c>
      <x:c r="E230" s="92" t="n">
        <x:v>8</x:v>
      </x:c>
      <x:c r="F230" s="92" t="str">
        <x:v>PK40</x:v>
      </x:c>
      <x:c r="G230" s="92" t="str">
        <x:v>装箱</x:v>
      </x:c>
      <x:c r="H230" s="92" t="str">
        <x:v>包装工序</x:v>
      </x:c>
      <x:c r="I230" s="92" t="n">
        <x:v>1</x:v>
      </x:c>
      <x:c r="J230" s="92" t="str">
        <x:v>是</x:v>
      </x:c>
      <x:c r="K230" s="92" t="str"/>
    </x:row>
    <x:row r="231">
      <x:c r="A231" s="92" t="str">
        <x:v>TPL-PAINT-METAL</x:v>
      </x:c>
      <x:c r="B231" s="92" t="str">
        <x:v>表面处理</x:v>
      </x:c>
      <x:c r="C231" s="92" t="str">
        <x:v>金属件烤漆（三涂两烤）</x:v>
      </x:c>
      <x:c r="D231" s="92" t="str">
        <x:v>金属件清洗、底漆、色漆、清漆、固化、检验和包装。</x:v>
      </x:c>
      <x:c r="E231" s="92" t="n">
        <x:v>1</x:v>
      </x:c>
      <x:c r="F231" s="92" t="str">
        <x:v>PF60</x:v>
      </x:c>
      <x:c r="G231" s="92" t="str">
        <x:v>超声波清洗</x:v>
      </x:c>
      <x:c r="H231" s="92" t="str">
        <x:v>后处理</x:v>
      </x:c>
      <x:c r="I231" s="92" t="n">
        <x:v>1</x:v>
      </x:c>
      <x:c r="J231" s="92" t="str">
        <x:v>是</x:v>
      </x:c>
      <x:c r="K231" s="92" t="str">
        <x:v>汽车金属件典型涂装路线</x:v>
      </x:c>
    </x:row>
    <x:row r="232">
      <x:c r="A232" s="92" t="str">
        <x:v>TPL-PAINT-METAL</x:v>
      </x:c>
      <x:c r="B232" s="92" t="str">
        <x:v>表面处理</x:v>
      </x:c>
      <x:c r="C232" s="92" t="str">
        <x:v>金属件烤漆（三涂两烤）</x:v>
      </x:c>
      <x:c r="D232" s="92" t="str">
        <x:v>金属件清洗、底漆、色漆、清漆、固化、检验和包装。</x:v>
      </x:c>
      <x:c r="E232" s="92" t="n">
        <x:v>2</x:v>
      </x:c>
      <x:c r="F232" s="92" t="str">
        <x:v>PA10</x:v>
      </x:c>
      <x:c r="G232" s="92" t="str">
        <x:v>底漆喷涂</x:v>
      </x:c>
      <x:c r="H232" s="92" t="str">
        <x:v>烤漆/喷漆工艺</x:v>
      </x:c>
      <x:c r="I232" s="92" t="n">
        <x:v>1</x:v>
      </x:c>
      <x:c r="J232" s="92" t="str">
        <x:v>是</x:v>
      </x:c>
      <x:c r="K232" s="92" t="str"/>
    </x:row>
    <x:row r="233">
      <x:c r="A233" s="92" t="str">
        <x:v>TPL-PAINT-METAL</x:v>
      </x:c>
      <x:c r="B233" s="92" t="str">
        <x:v>表面处理</x:v>
      </x:c>
      <x:c r="C233" s="92" t="str">
        <x:v>金属件烤漆（三涂两烤）</x:v>
      </x:c>
      <x:c r="D233" s="92" t="str">
        <x:v>金属件清洗、底漆、色漆、清漆、固化、检验和包装。</x:v>
      </x:c>
      <x:c r="E233" s="92" t="n">
        <x:v>3</x:v>
      </x:c>
      <x:c r="F233" s="92" t="str">
        <x:v>PA20</x:v>
      </x:c>
      <x:c r="G233" s="92" t="str">
        <x:v>色漆喷涂</x:v>
      </x:c>
      <x:c r="H233" s="92" t="str">
        <x:v>烤漆/喷漆工艺</x:v>
      </x:c>
      <x:c r="I233" s="92" t="n">
        <x:v>1</x:v>
      </x:c>
      <x:c r="J233" s="92" t="str">
        <x:v>是</x:v>
      </x:c>
      <x:c r="K233" s="92" t="str"/>
    </x:row>
    <x:row r="234">
      <x:c r="A234" s="92" t="str">
        <x:v>TPL-PAINT-METAL</x:v>
      </x:c>
      <x:c r="B234" s="92" t="str">
        <x:v>表面处理</x:v>
      </x:c>
      <x:c r="C234" s="92" t="str">
        <x:v>金属件烤漆（三涂两烤）</x:v>
      </x:c>
      <x:c r="D234" s="92" t="str">
        <x:v>金属件清洗、底漆、色漆、清漆、固化、检验和包装。</x:v>
      </x:c>
      <x:c r="E234" s="92" t="n">
        <x:v>4</x:v>
      </x:c>
      <x:c r="F234" s="92" t="str">
        <x:v>PA30</x:v>
      </x:c>
      <x:c r="G234" s="92" t="str">
        <x:v>清漆喷涂</x:v>
      </x:c>
      <x:c r="H234" s="92" t="str">
        <x:v>烤漆/喷漆工艺</x:v>
      </x:c>
      <x:c r="I234" s="92" t="n">
        <x:v>1</x:v>
      </x:c>
      <x:c r="J234" s="92" t="str">
        <x:v>是</x:v>
      </x:c>
      <x:c r="K234" s="92" t="str"/>
    </x:row>
    <x:row r="235">
      <x:c r="A235" s="92" t="str">
        <x:v>TPL-PAINT-METAL</x:v>
      </x:c>
      <x:c r="B235" s="92" t="str">
        <x:v>表面处理</x:v>
      </x:c>
      <x:c r="C235" s="92" t="str">
        <x:v>金属件烤漆（三涂两烤）</x:v>
      </x:c>
      <x:c r="D235" s="92" t="str">
        <x:v>金属件清洗、底漆、色漆、清漆、固化、检验和包装。</x:v>
      </x:c>
      <x:c r="E235" s="92" t="n">
        <x:v>5</x:v>
      </x:c>
      <x:c r="F235" s="92" t="str">
        <x:v>PA70</x:v>
      </x:c>
      <x:c r="G235" s="92" t="str">
        <x:v>烤漆固化</x:v>
      </x:c>
      <x:c r="H235" s="92" t="str">
        <x:v>烤漆/喷漆工艺</x:v>
      </x:c>
      <x:c r="I235" s="92" t="n">
        <x:v>1</x:v>
      </x:c>
      <x:c r="J235" s="92" t="str">
        <x:v>是</x:v>
      </x:c>
      <x:c r="K235" s="92" t="str"/>
    </x:row>
    <x:row r="236">
      <x:c r="A236" s="92" t="str">
        <x:v>TPL-PAINT-METAL</x:v>
      </x:c>
      <x:c r="B236" s="92" t="str">
        <x:v>表面处理</x:v>
      </x:c>
      <x:c r="C236" s="92" t="str">
        <x:v>金属件烤漆（三涂两烤）</x:v>
      </x:c>
      <x:c r="D236" s="92" t="str">
        <x:v>金属件清洗、底漆、色漆、清漆、固化、检验和包装。</x:v>
      </x:c>
      <x:c r="E236" s="92" t="n">
        <x:v>6</x:v>
      </x:c>
      <x:c r="F236" s="92" t="str">
        <x:v>QI10</x:v>
      </x:c>
      <x:c r="G236" s="92" t="str">
        <x:v>外观全检</x:v>
      </x:c>
      <x:c r="H236" s="92" t="str">
        <x:v>质检工序</x:v>
      </x:c>
      <x:c r="I236" s="92" t="n">
        <x:v>1</x:v>
      </x:c>
      <x:c r="J236" s="92" t="str">
        <x:v>是</x:v>
      </x:c>
      <x:c r="K236" s="92" t="str"/>
    </x:row>
    <x:row r="237">
      <x:c r="A237" s="92" t="str">
        <x:v>TPL-PAINT-METAL</x:v>
      </x:c>
      <x:c r="B237" s="92" t="str">
        <x:v>表面处理</x:v>
      </x:c>
      <x:c r="C237" s="92" t="str">
        <x:v>金属件烤漆（三涂两烤）</x:v>
      </x:c>
      <x:c r="D237" s="92" t="str">
        <x:v>金属件清洗、底漆、色漆、清漆、固化、检验和包装。</x:v>
      </x:c>
      <x:c r="E237" s="92" t="n">
        <x:v>7</x:v>
      </x:c>
      <x:c r="F237" s="92" t="str">
        <x:v>PK40</x:v>
      </x:c>
      <x:c r="G237" s="92" t="str">
        <x:v>装箱</x:v>
      </x:c>
      <x:c r="H237" s="92" t="str">
        <x:v>包装工序</x:v>
      </x:c>
      <x:c r="I237" s="92" t="n">
        <x:v>1</x:v>
      </x:c>
      <x:c r="J237" s="92" t="str">
        <x:v>是</x:v>
      </x:c>
      <x:c r="K237" s="92" t="str"/>
    </x:row>
    <x:row r="238">
      <x:c r="A238" s="92" t="str">
        <x:v>TPL-POWDER-FULL</x:v>
      </x:c>
      <x:c r="B238" s="92" t="str">
        <x:v>表面处理</x:v>
      </x:c>
      <x:c r="C238" s="92" t="str">
        <x:v>金属件喷粉烤漆（完整线）</x:v>
      </x:c>
      <x:c r="D238" s="92" t="str">
        <x:v>金属件清洗、喷粉固化整线、检验和包装。</x:v>
      </x:c>
      <x:c r="E238" s="92" t="n">
        <x:v>1</x:v>
      </x:c>
      <x:c r="F238" s="92" t="str">
        <x:v>PF60</x:v>
      </x:c>
      <x:c r="G238" s="92" t="str">
        <x:v>超声波清洗</x:v>
      </x:c>
      <x:c r="H238" s="92" t="str">
        <x:v>后处理</x:v>
      </x:c>
      <x:c r="I238" s="92" t="n">
        <x:v>1</x:v>
      </x:c>
      <x:c r="J238" s="92" t="str">
        <x:v>是</x:v>
      </x:c>
      <x:c r="K238" s="92" t="str">
        <x:v>AkzoNobel粉末涂料资料+典型路线</x:v>
      </x:c>
    </x:row>
    <x:row r="239">
      <x:c r="A239" s="92" t="str">
        <x:v>TPL-POWDER-FULL</x:v>
      </x:c>
      <x:c r="B239" s="92" t="str">
        <x:v>表面处理</x:v>
      </x:c>
      <x:c r="C239" s="92" t="str">
        <x:v>金属件喷粉烤漆（完整线）</x:v>
      </x:c>
      <x:c r="D239" s="92" t="str">
        <x:v>金属件清洗、喷粉固化整线、检验和包装。</x:v>
      </x:c>
      <x:c r="E239" s="92" t="n">
        <x:v>2</x:v>
      </x:c>
      <x:c r="F239" s="92" t="str">
        <x:v>PW30</x:v>
      </x:c>
      <x:c r="G239" s="92" t="str">
        <x:v>前处理+喷粉+固化整线</x:v>
      </x:c>
      <x:c r="H239" s="92" t="str">
        <x:v>喷粉</x:v>
      </x:c>
      <x:c r="I239" s="92" t="n">
        <x:v>1</x:v>
      </x:c>
      <x:c r="J239" s="92" t="str">
        <x:v>是</x:v>
      </x:c>
      <x:c r="K239" s="92" t="str"/>
    </x:row>
    <x:row r="240">
      <x:c r="A240" s="92" t="str">
        <x:v>TPL-POWDER-FULL</x:v>
      </x:c>
      <x:c r="B240" s="92" t="str">
        <x:v>表面处理</x:v>
      </x:c>
      <x:c r="C240" s="92" t="str">
        <x:v>金属件喷粉烤漆（完整线）</x:v>
      </x:c>
      <x:c r="D240" s="92" t="str">
        <x:v>金属件清洗、喷粉固化整线、检验和包装。</x:v>
      </x:c>
      <x:c r="E240" s="92" t="n">
        <x:v>3</x:v>
      </x:c>
      <x:c r="F240" s="92" t="str">
        <x:v>QI10</x:v>
      </x:c>
      <x:c r="G240" s="92" t="str">
        <x:v>外观全检</x:v>
      </x:c>
      <x:c r="H240" s="92" t="str">
        <x:v>质检工序</x:v>
      </x:c>
      <x:c r="I240" s="92" t="n">
        <x:v>1</x:v>
      </x:c>
      <x:c r="J240" s="92" t="str">
        <x:v>是</x:v>
      </x:c>
      <x:c r="K240" s="92" t="str"/>
    </x:row>
    <x:row r="241">
      <x:c r="A241" s="92" t="str">
        <x:v>TPL-POWDER-FULL</x:v>
      </x:c>
      <x:c r="B241" s="92" t="str">
        <x:v>表面处理</x:v>
      </x:c>
      <x:c r="C241" s="92" t="str">
        <x:v>金属件喷粉烤漆（完整线）</x:v>
      </x:c>
      <x:c r="D241" s="92" t="str">
        <x:v>金属件清洗、喷粉固化整线、检验和包装。</x:v>
      </x:c>
      <x:c r="E241" s="92" t="n">
        <x:v>4</x:v>
      </x:c>
      <x:c r="F241" s="92" t="str">
        <x:v>PK40</x:v>
      </x:c>
      <x:c r="G241" s="92" t="str">
        <x:v>装箱</x:v>
      </x:c>
      <x:c r="H241" s="92" t="str">
        <x:v>包装工序</x:v>
      </x:c>
      <x:c r="I241" s="92" t="n">
        <x:v>1</x:v>
      </x:c>
      <x:c r="J241" s="92" t="str">
        <x:v>是</x:v>
      </x:c>
      <x:c r="K241" s="92" t="str"/>
    </x:row>
    <x:row r="242">
      <x:c r="A242" s="92" t="str">
        <x:v>TPL-ANODIZE-CLEAR</x:v>
      </x:c>
      <x:c r="B242" s="92" t="str">
        <x:v>表面处理</x:v>
      </x:c>
      <x:c r="C242" s="92" t="str">
        <x:v>铝件本色阳极氧化</x:v>
      </x:c>
      <x:c r="D242" s="92" t="str">
        <x:v>清洗、本色阳极氧化整线、外观检验和包装。</x:v>
      </x:c>
      <x:c r="E242" s="92" t="n">
        <x:v>1</x:v>
      </x:c>
      <x:c r="F242" s="92" t="str">
        <x:v>PF60</x:v>
      </x:c>
      <x:c r="G242" s="92" t="str">
        <x:v>超声波清洗</x:v>
      </x:c>
      <x:c r="H242" s="92" t="str">
        <x:v>后处理</x:v>
      </x:c>
      <x:c r="I242" s="92" t="n">
        <x:v>1</x:v>
      </x:c>
      <x:c r="J242" s="92" t="str">
        <x:v>是</x:v>
      </x:c>
      <x:c r="K242" s="92" t="str">
        <x:v>AAC/QUALANOD典型路线</x:v>
      </x:c>
    </x:row>
    <x:row r="243">
      <x:c r="A243" s="92" t="str">
        <x:v>TPL-ANODIZE-CLEAR</x:v>
      </x:c>
      <x:c r="B243" s="92" t="str">
        <x:v>表面处理</x:v>
      </x:c>
      <x:c r="C243" s="92" t="str">
        <x:v>铝件本色阳极氧化</x:v>
      </x:c>
      <x:c r="D243" s="92" t="str">
        <x:v>清洗、本色阳极氧化整线、外观检验和包装。</x:v>
      </x:c>
      <x:c r="E243" s="92" t="n">
        <x:v>2</x:v>
      </x:c>
      <x:c r="F243" s="92" t="str">
        <x:v>AN10</x:v>
      </x:c>
      <x:c r="G243" s="92" t="str">
        <x:v>本色阳极氧化整线</x:v>
      </x:c>
      <x:c r="H243" s="92" t="str">
        <x:v>阳极氧化工序</x:v>
      </x:c>
      <x:c r="I243" s="92" t="n">
        <x:v>1</x:v>
      </x:c>
      <x:c r="J243" s="92" t="str">
        <x:v>是</x:v>
      </x:c>
      <x:c r="K243" s="92" t="str"/>
    </x:row>
    <x:row r="244">
      <x:c r="A244" s="92" t="str">
        <x:v>TPL-ANODIZE-CLEAR</x:v>
      </x:c>
      <x:c r="B244" s="92" t="str">
        <x:v>表面处理</x:v>
      </x:c>
      <x:c r="C244" s="92" t="str">
        <x:v>铝件本色阳极氧化</x:v>
      </x:c>
      <x:c r="D244" s="92" t="str">
        <x:v>清洗、本色阳极氧化整线、外观检验和包装。</x:v>
      </x:c>
      <x:c r="E244" s="92" t="n">
        <x:v>3</x:v>
      </x:c>
      <x:c r="F244" s="92" t="str">
        <x:v>QI10</x:v>
      </x:c>
      <x:c r="G244" s="92" t="str">
        <x:v>外观全检</x:v>
      </x:c>
      <x:c r="H244" s="92" t="str">
        <x:v>质检工序</x:v>
      </x:c>
      <x:c r="I244" s="92" t="n">
        <x:v>1</x:v>
      </x:c>
      <x:c r="J244" s="92" t="str">
        <x:v>是</x:v>
      </x:c>
      <x:c r="K244" s="92" t="str"/>
    </x:row>
    <x:row r="245">
      <x:c r="A245" s="92" t="str">
        <x:v>TPL-ANODIZE-CLEAR</x:v>
      </x:c>
      <x:c r="B245" s="92" t="str">
        <x:v>表面处理</x:v>
      </x:c>
      <x:c r="C245" s="92" t="str">
        <x:v>铝件本色阳极氧化</x:v>
      </x:c>
      <x:c r="D245" s="92" t="str">
        <x:v>清洗、本色阳极氧化整线、外观检验和包装。</x:v>
      </x:c>
      <x:c r="E245" s="92" t="n">
        <x:v>4</x:v>
      </x:c>
      <x:c r="F245" s="92" t="str">
        <x:v>PK40</x:v>
      </x:c>
      <x:c r="G245" s="92" t="str">
        <x:v>装箱</x:v>
      </x:c>
      <x:c r="H245" s="92" t="str">
        <x:v>包装工序</x:v>
      </x:c>
      <x:c r="I245" s="92" t="n">
        <x:v>1</x:v>
      </x:c>
      <x:c r="J245" s="92" t="str">
        <x:v>是</x:v>
      </x:c>
      <x:c r="K245" s="92" t="str"/>
    </x:row>
    <x:row r="246">
      <x:c r="A246" s="92" t="str">
        <x:v>TPL-ANODIZE-COLOR</x:v>
      </x:c>
      <x:c r="B246" s="92" t="str">
        <x:v>表面处理</x:v>
      </x:c>
      <x:c r="C246" s="92" t="str">
        <x:v>铝件彩色阳极氧化</x:v>
      </x:c>
      <x:c r="D246" s="92" t="str">
        <x:v>清洗、彩色阳极氧化整线、外观检验和包装。</x:v>
      </x:c>
      <x:c r="E246" s="92" t="n">
        <x:v>1</x:v>
      </x:c>
      <x:c r="F246" s="92" t="str">
        <x:v>PF60</x:v>
      </x:c>
      <x:c r="G246" s="92" t="str">
        <x:v>超声波清洗</x:v>
      </x:c>
      <x:c r="H246" s="92" t="str">
        <x:v>后处理</x:v>
      </x:c>
      <x:c r="I246" s="92" t="n">
        <x:v>1</x:v>
      </x:c>
      <x:c r="J246" s="92" t="str">
        <x:v>是</x:v>
      </x:c>
      <x:c r="K246" s="92" t="str">
        <x:v>AAC/QUALANOD典型路线</x:v>
      </x:c>
    </x:row>
    <x:row r="247">
      <x:c r="A247" s="92" t="str">
        <x:v>TPL-ANODIZE-COLOR</x:v>
      </x:c>
      <x:c r="B247" s="92" t="str">
        <x:v>表面处理</x:v>
      </x:c>
      <x:c r="C247" s="92" t="str">
        <x:v>铝件彩色阳极氧化</x:v>
      </x:c>
      <x:c r="D247" s="92" t="str">
        <x:v>清洗、彩色阳极氧化整线、外观检验和包装。</x:v>
      </x:c>
      <x:c r="E247" s="92" t="n">
        <x:v>2</x:v>
      </x:c>
      <x:c r="F247" s="92" t="str">
        <x:v>AN20</x:v>
      </x:c>
      <x:c r="G247" s="92" t="str">
        <x:v>彩色阳极氧化整线</x:v>
      </x:c>
      <x:c r="H247" s="92" t="str">
        <x:v>阳极氧化工序</x:v>
      </x:c>
      <x:c r="I247" s="92" t="n">
        <x:v>1</x:v>
      </x:c>
      <x:c r="J247" s="92" t="str">
        <x:v>是</x:v>
      </x:c>
      <x:c r="K247" s="92" t="str"/>
    </x:row>
    <x:row r="248">
      <x:c r="A248" s="92" t="str">
        <x:v>TPL-ANODIZE-COLOR</x:v>
      </x:c>
      <x:c r="B248" s="92" t="str">
        <x:v>表面处理</x:v>
      </x:c>
      <x:c r="C248" s="92" t="str">
        <x:v>铝件彩色阳极氧化</x:v>
      </x:c>
      <x:c r="D248" s="92" t="str">
        <x:v>清洗、彩色阳极氧化整线、外观检验和包装。</x:v>
      </x:c>
      <x:c r="E248" s="92" t="n">
        <x:v>3</x:v>
      </x:c>
      <x:c r="F248" s="92" t="str">
        <x:v>QI10</x:v>
      </x:c>
      <x:c r="G248" s="92" t="str">
        <x:v>外观全检</x:v>
      </x:c>
      <x:c r="H248" s="92" t="str">
        <x:v>质检工序</x:v>
      </x:c>
      <x:c r="I248" s="92" t="n">
        <x:v>1</x:v>
      </x:c>
      <x:c r="J248" s="92" t="str">
        <x:v>是</x:v>
      </x:c>
      <x:c r="K248" s="92" t="str"/>
    </x:row>
    <x:row r="249">
      <x:c r="A249" s="92" t="str">
        <x:v>TPL-ANODIZE-COLOR</x:v>
      </x:c>
      <x:c r="B249" s="92" t="str">
        <x:v>表面处理</x:v>
      </x:c>
      <x:c r="C249" s="92" t="str">
        <x:v>铝件彩色阳极氧化</x:v>
      </x:c>
      <x:c r="D249" s="92" t="str">
        <x:v>清洗、彩色阳极氧化整线、外观检验和包装。</x:v>
      </x:c>
      <x:c r="E249" s="92" t="n">
        <x:v>4</x:v>
      </x:c>
      <x:c r="F249" s="92" t="str">
        <x:v>PK40</x:v>
      </x:c>
      <x:c r="G249" s="92" t="str">
        <x:v>装箱</x:v>
      </x:c>
      <x:c r="H249" s="92" t="str">
        <x:v>包装工序</x:v>
      </x:c>
      <x:c r="I249" s="92" t="n">
        <x:v>1</x:v>
      </x:c>
      <x:c r="J249" s="92" t="str">
        <x:v>是</x:v>
      </x:c>
      <x:c r="K249" s="92" t="str"/>
    </x:row>
    <x:row r="250">
      <x:c r="A250" s="92" t="str">
        <x:v>TPL-ANODIZE-HARD</x:v>
      </x:c>
      <x:c r="B250" s="92" t="str">
        <x:v>表面处理</x:v>
      </x:c>
      <x:c r="C250" s="92" t="str">
        <x:v>铝件硬质阳极氧化</x:v>
      </x:c>
      <x:c r="D250" s="92" t="str">
        <x:v>清洗、硬质阳极氧化整线、外观检验和包装。</x:v>
      </x:c>
      <x:c r="E250" s="92" t="n">
        <x:v>1</x:v>
      </x:c>
      <x:c r="F250" s="92" t="str">
        <x:v>PF60</x:v>
      </x:c>
      <x:c r="G250" s="92" t="str">
        <x:v>超声波清洗</x:v>
      </x:c>
      <x:c r="H250" s="92" t="str">
        <x:v>后处理</x:v>
      </x:c>
      <x:c r="I250" s="92" t="n">
        <x:v>1</x:v>
      </x:c>
      <x:c r="J250" s="92" t="str">
        <x:v>是</x:v>
      </x:c>
      <x:c r="K250" s="92" t="str">
        <x:v>QUALANOD硬质阳极资料+典型路线</x:v>
      </x:c>
    </x:row>
    <x:row r="251">
      <x:c r="A251" s="92" t="str">
        <x:v>TPL-ANODIZE-HARD</x:v>
      </x:c>
      <x:c r="B251" s="92" t="str">
        <x:v>表面处理</x:v>
      </x:c>
      <x:c r="C251" s="92" t="str">
        <x:v>铝件硬质阳极氧化</x:v>
      </x:c>
      <x:c r="D251" s="92" t="str">
        <x:v>清洗、硬质阳极氧化整线、外观检验和包装。</x:v>
      </x:c>
      <x:c r="E251" s="92" t="n">
        <x:v>2</x:v>
      </x:c>
      <x:c r="F251" s="92" t="str">
        <x:v>AN30</x:v>
      </x:c>
      <x:c r="G251" s="92" t="str">
        <x:v>硬质阳极氧化整线</x:v>
      </x:c>
      <x:c r="H251" s="92" t="str">
        <x:v>阳极氧化工序</x:v>
      </x:c>
      <x:c r="I251" s="92" t="n">
        <x:v>1</x:v>
      </x:c>
      <x:c r="J251" s="92" t="str">
        <x:v>是</x:v>
      </x:c>
      <x:c r="K251" s="92" t="str"/>
    </x:row>
    <x:row r="252">
      <x:c r="A252" s="92" t="str">
        <x:v>TPL-ANODIZE-HARD</x:v>
      </x:c>
      <x:c r="B252" s="92" t="str">
        <x:v>表面处理</x:v>
      </x:c>
      <x:c r="C252" s="92" t="str">
        <x:v>铝件硬质阳极氧化</x:v>
      </x:c>
      <x:c r="D252" s="92" t="str">
        <x:v>清洗、硬质阳极氧化整线、外观检验和包装。</x:v>
      </x:c>
      <x:c r="E252" s="92" t="n">
        <x:v>3</x:v>
      </x:c>
      <x:c r="F252" s="92" t="str">
        <x:v>QI10</x:v>
      </x:c>
      <x:c r="G252" s="92" t="str">
        <x:v>外观全检</x:v>
      </x:c>
      <x:c r="H252" s="92" t="str">
        <x:v>质检工序</x:v>
      </x:c>
      <x:c r="I252" s="92" t="n">
        <x:v>1</x:v>
      </x:c>
      <x:c r="J252" s="92" t="str">
        <x:v>是</x:v>
      </x:c>
      <x:c r="K252" s="92" t="str"/>
    </x:row>
    <x:row r="253">
      <x:c r="A253" s="92" t="str">
        <x:v>TPL-ANODIZE-HARD</x:v>
      </x:c>
      <x:c r="B253" s="92" t="str">
        <x:v>表面处理</x:v>
      </x:c>
      <x:c r="C253" s="92" t="str">
        <x:v>铝件硬质阳极氧化</x:v>
      </x:c>
      <x:c r="D253" s="92" t="str">
        <x:v>清洗、硬质阳极氧化整线、外观检验和包装。</x:v>
      </x:c>
      <x:c r="E253" s="92" t="n">
        <x:v>4</x:v>
      </x:c>
      <x:c r="F253" s="92" t="str">
        <x:v>PK40</x:v>
      </x:c>
      <x:c r="G253" s="92" t="str">
        <x:v>装箱</x:v>
      </x:c>
      <x:c r="H253" s="92" t="str">
        <x:v>包装工序</x:v>
      </x:c>
      <x:c r="I253" s="92" t="n">
        <x:v>1</x:v>
      </x:c>
      <x:c r="J253" s="92" t="str">
        <x:v>是</x:v>
      </x:c>
      <x:c r="K253" s="92" t="str"/>
    </x:row>
    <x:row r="254">
      <x:c r="A254" s="92"/>
      <x:c r="B254" s="92"/>
      <x:c r="C254" s="92"/>
      <x:c r="D254" s="92"/>
      <x:c r="E254" s="92"/>
      <x:c r="F254" s="92"/>
      <x:c r="G254" s="92"/>
      <x:c r="H254" s="92"/>
      <x:c r="I254" s="92"/>
      <x:c r="J254" s="92"/>
      <x:c r="K254" s="92"/>
    </x:row>
    <x:row r="255">
      <x:c r="A255" s="92"/>
      <x:c r="B255" s="92"/>
      <x:c r="C255" s="92"/>
      <x:c r="D255" s="92"/>
      <x:c r="E255" s="92"/>
      <x:c r="F255" s="92"/>
      <x:c r="G255" s="92"/>
      <x:c r="H255" s="92"/>
      <x:c r="I255" s="92"/>
      <x:c r="J255" s="92"/>
      <x:c r="K255" s="92"/>
    </x:row>
    <x:row r="256">
      <x:c r="A256" s="92"/>
      <x:c r="B256" s="92"/>
      <x:c r="C256" s="92"/>
      <x:c r="D256" s="92"/>
      <x:c r="E256" s="92"/>
      <x:c r="F256" s="92"/>
      <x:c r="G256" s="92"/>
      <x:c r="H256" s="92"/>
      <x:c r="I256" s="92"/>
      <x:c r="J256" s="92"/>
      <x:c r="K256" s="92"/>
    </x:row>
    <x:row r="257">
      <x:c r="A257" s="92"/>
      <x:c r="B257" s="92"/>
      <x:c r="C257" s="92"/>
      <x:c r="D257" s="92"/>
      <x:c r="E257" s="92"/>
      <x:c r="F257" s="92"/>
      <x:c r="G257" s="92"/>
      <x:c r="H257" s="92"/>
      <x:c r="I257" s="92"/>
      <x:c r="J257" s="92"/>
      <x:c r="K257" s="92"/>
    </x:row>
    <x:row r="258">
      <x:c r="A258" s="92"/>
      <x:c r="B258" s="92"/>
      <x:c r="C258" s="92"/>
      <x:c r="D258" s="92"/>
      <x:c r="E258" s="92"/>
      <x:c r="F258" s="92"/>
      <x:c r="G258" s="92"/>
      <x:c r="H258" s="92"/>
      <x:c r="I258" s="92"/>
      <x:c r="J258" s="92"/>
      <x:c r="K258" s="92"/>
    </x:row>
    <x:row r="259">
      <x:c r="A259" s="92"/>
      <x:c r="B259" s="92"/>
      <x:c r="C259" s="92"/>
      <x:c r="D259" s="92"/>
      <x:c r="E259" s="92"/>
      <x:c r="F259" s="92"/>
      <x:c r="G259" s="92"/>
      <x:c r="H259" s="92"/>
      <x:c r="I259" s="92"/>
      <x:c r="J259" s="92"/>
      <x:c r="K259" s="92"/>
    </x:row>
    <x:row r="260">
      <x:c r="A260" s="92"/>
      <x:c r="B260" s="92"/>
      <x:c r="C260" s="92"/>
      <x:c r="D260" s="92"/>
      <x:c r="E260" s="92"/>
      <x:c r="F260" s="92"/>
      <x:c r="G260" s="92"/>
      <x:c r="H260" s="92"/>
      <x:c r="I260" s="92"/>
      <x:c r="J260" s="92"/>
      <x:c r="K260" s="92"/>
    </x:row>
    <x:row r="261">
      <x:c r="A261" s="92"/>
      <x:c r="B261" s="92"/>
      <x:c r="C261" s="92"/>
      <x:c r="D261" s="92"/>
      <x:c r="E261" s="92"/>
      <x:c r="F261" s="92"/>
      <x:c r="G261" s="92"/>
      <x:c r="H261" s="92"/>
      <x:c r="I261" s="92"/>
      <x:c r="J261" s="92"/>
      <x:c r="K261" s="92"/>
    </x:row>
    <x:row r="262">
      <x:c r="A262" s="92"/>
      <x:c r="B262" s="92"/>
      <x:c r="C262" s="92"/>
      <x:c r="D262" s="92"/>
      <x:c r="E262" s="92"/>
      <x:c r="F262" s="92"/>
      <x:c r="G262" s="92"/>
      <x:c r="H262" s="92"/>
      <x:c r="I262" s="92"/>
      <x:c r="J262" s="92"/>
      <x:c r="K262" s="92"/>
    </x:row>
    <x:row r="263">
      <x:c r="A263" s="92"/>
      <x:c r="B263" s="92"/>
      <x:c r="C263" s="92"/>
      <x:c r="D263" s="92"/>
      <x:c r="E263" s="92"/>
      <x:c r="F263" s="92"/>
      <x:c r="G263" s="92"/>
      <x:c r="H263" s="92"/>
      <x:c r="I263" s="92"/>
      <x:c r="J263" s="92"/>
      <x:c r="K263" s="92"/>
    </x:row>
    <x:row r="264">
      <x:c r="A264" s="92"/>
      <x:c r="B264" s="92"/>
      <x:c r="C264" s="92"/>
      <x:c r="D264" s="92"/>
      <x:c r="E264" s="92"/>
      <x:c r="F264" s="92"/>
      <x:c r="G264" s="92"/>
      <x:c r="H264" s="92"/>
      <x:c r="I264" s="92"/>
      <x:c r="J264" s="92"/>
      <x:c r="K264" s="92"/>
    </x:row>
    <x:row r="265">
      <x:c r="A265" s="92"/>
      <x:c r="B265" s="92"/>
      <x:c r="C265" s="92"/>
      <x:c r="D265" s="92"/>
      <x:c r="E265" s="92"/>
      <x:c r="F265" s="92"/>
      <x:c r="G265" s="92"/>
      <x:c r="H265" s="92"/>
      <x:c r="I265" s="92"/>
      <x:c r="J265" s="92"/>
      <x:c r="K265" s="92"/>
    </x:row>
    <x:row r="266">
      <x:c r="A266" s="92"/>
      <x:c r="B266" s="92"/>
      <x:c r="C266" s="92"/>
      <x:c r="D266" s="92"/>
      <x:c r="E266" s="92"/>
      <x:c r="F266" s="92"/>
      <x:c r="G266" s="92"/>
      <x:c r="H266" s="92"/>
      <x:c r="I266" s="92"/>
      <x:c r="J266" s="92"/>
      <x:c r="K266" s="92"/>
    </x:row>
    <x:row r="267">
      <x:c r="A267" s="92"/>
      <x:c r="B267" s="92"/>
      <x:c r="C267" s="92"/>
      <x:c r="D267" s="92"/>
      <x:c r="E267" s="92"/>
      <x:c r="F267" s="92"/>
      <x:c r="G267" s="92"/>
      <x:c r="H267" s="92"/>
      <x:c r="I267" s="92"/>
      <x:c r="J267" s="92"/>
      <x:c r="K267" s="92"/>
    </x:row>
    <x:row r="268">
      <x:c r="A268" s="92"/>
      <x:c r="B268" s="92"/>
      <x:c r="C268" s="92"/>
      <x:c r="D268" s="92"/>
      <x:c r="E268" s="92"/>
      <x:c r="F268" s="92"/>
      <x:c r="G268" s="92"/>
      <x:c r="H268" s="92"/>
      <x:c r="I268" s="92"/>
      <x:c r="J268" s="92"/>
      <x:c r="K268" s="92"/>
    </x:row>
    <x:row r="269">
      <x:c r="A269" s="92"/>
      <x:c r="B269" s="92"/>
      <x:c r="C269" s="92"/>
      <x:c r="D269" s="92"/>
      <x:c r="E269" s="92"/>
      <x:c r="F269" s="92"/>
      <x:c r="G269" s="92"/>
      <x:c r="H269" s="92"/>
      <x:c r="I269" s="92"/>
      <x:c r="J269" s="92"/>
      <x:c r="K269" s="92"/>
    </x:row>
    <x:row r="270">
      <x:c r="A270" s="92"/>
      <x:c r="B270" s="92"/>
      <x:c r="C270" s="92"/>
      <x:c r="D270" s="92"/>
      <x:c r="E270" s="92"/>
      <x:c r="F270" s="92"/>
      <x:c r="G270" s="92"/>
      <x:c r="H270" s="92"/>
      <x:c r="I270" s="92"/>
      <x:c r="J270" s="92"/>
      <x:c r="K270" s="92"/>
    </x:row>
    <x:row r="271">
      <x:c r="A271" s="92"/>
      <x:c r="B271" s="92"/>
      <x:c r="C271" s="92"/>
      <x:c r="D271" s="92"/>
      <x:c r="E271" s="92"/>
      <x:c r="F271" s="92"/>
      <x:c r="G271" s="92"/>
      <x:c r="H271" s="92"/>
      <x:c r="I271" s="92"/>
      <x:c r="J271" s="92"/>
      <x:c r="K271" s="92"/>
    </x:row>
    <x:row r="272">
      <x:c r="A272" s="92"/>
      <x:c r="B272" s="92"/>
      <x:c r="C272" s="92"/>
      <x:c r="D272" s="92"/>
      <x:c r="E272" s="92"/>
      <x:c r="F272" s="92"/>
      <x:c r="G272" s="92"/>
      <x:c r="H272" s="92"/>
      <x:c r="I272" s="92"/>
      <x:c r="J272" s="92"/>
      <x:c r="K272" s="92"/>
    </x:row>
    <x:row r="273">
      <x:c r="A273" s="92"/>
      <x:c r="B273" s="92"/>
      <x:c r="C273" s="92"/>
      <x:c r="D273" s="92"/>
      <x:c r="E273" s="92"/>
      <x:c r="F273" s="92"/>
      <x:c r="G273" s="92"/>
      <x:c r="H273" s="92"/>
      <x:c r="I273" s="92"/>
      <x:c r="J273" s="92"/>
      <x:c r="K273" s="92"/>
    </x:row>
    <x:row r="274">
      <x:c r="A274" s="92"/>
      <x:c r="B274" s="92"/>
      <x:c r="C274" s="92"/>
      <x:c r="D274" s="92"/>
      <x:c r="E274" s="92"/>
      <x:c r="F274" s="92"/>
      <x:c r="G274" s="92"/>
      <x:c r="H274" s="92"/>
      <x:c r="I274" s="92"/>
      <x:c r="J274" s="92"/>
      <x:c r="K274" s="92"/>
    </x:row>
    <x:row r="275">
      <x:c r="A275" s="92"/>
      <x:c r="B275" s="92"/>
      <x:c r="C275" s="92"/>
      <x:c r="D275" s="92"/>
      <x:c r="E275" s="92"/>
      <x:c r="F275" s="92"/>
      <x:c r="G275" s="92"/>
      <x:c r="H275" s="92"/>
      <x:c r="I275" s="92"/>
      <x:c r="J275" s="92"/>
      <x:c r="K275" s="92"/>
    </x:row>
    <x:row r="276">
      <x:c r="A276" s="92"/>
      <x:c r="B276" s="92"/>
      <x:c r="C276" s="92"/>
      <x:c r="D276" s="92"/>
      <x:c r="E276" s="92"/>
      <x:c r="F276" s="92"/>
      <x:c r="G276" s="92"/>
      <x:c r="H276" s="92"/>
      <x:c r="I276" s="92"/>
      <x:c r="J276" s="92"/>
      <x:c r="K276" s="92"/>
    </x:row>
    <x:row r="277">
      <x:c r="A277" s="92"/>
      <x:c r="B277" s="92"/>
      <x:c r="C277" s="92"/>
      <x:c r="D277" s="92"/>
      <x:c r="E277" s="92"/>
      <x:c r="F277" s="92"/>
      <x:c r="G277" s="92"/>
      <x:c r="H277" s="92"/>
      <x:c r="I277" s="92"/>
      <x:c r="J277" s="92"/>
      <x:c r="K277" s="92"/>
    </x:row>
    <x:row r="278">
      <x:c r="A278" s="92"/>
      <x:c r="B278" s="92"/>
      <x:c r="C278" s="92"/>
      <x:c r="D278" s="92"/>
      <x:c r="E278" s="92"/>
      <x:c r="F278" s="92"/>
      <x:c r="G278" s="92"/>
      <x:c r="H278" s="92"/>
      <x:c r="I278" s="92"/>
      <x:c r="J278" s="92"/>
      <x:c r="K278" s="92"/>
    </x:row>
    <x:row r="279">
      <x:c r="A279" s="92"/>
      <x:c r="B279" s="92"/>
      <x:c r="C279" s="92"/>
      <x:c r="D279" s="92"/>
      <x:c r="E279" s="92"/>
      <x:c r="F279" s="92"/>
      <x:c r="G279" s="92"/>
      <x:c r="H279" s="92"/>
      <x:c r="I279" s="92"/>
      <x:c r="J279" s="92"/>
      <x:c r="K279" s="92"/>
    </x:row>
    <x:row r="280">
      <x:c r="A280" s="92"/>
      <x:c r="B280" s="92"/>
      <x:c r="C280" s="92"/>
      <x:c r="D280" s="92"/>
      <x:c r="E280" s="92"/>
      <x:c r="F280" s="92"/>
      <x:c r="G280" s="92"/>
      <x:c r="H280" s="92"/>
      <x:c r="I280" s="92"/>
      <x:c r="J280" s="92"/>
      <x:c r="K280" s="92"/>
    </x:row>
    <x:row r="281">
      <x:c r="A281" s="92"/>
      <x:c r="B281" s="92"/>
      <x:c r="C281" s="92"/>
      <x:c r="D281" s="92"/>
      <x:c r="E281" s="92"/>
      <x:c r="F281" s="92"/>
      <x:c r="G281" s="92"/>
      <x:c r="H281" s="92"/>
      <x:c r="I281" s="92"/>
      <x:c r="J281" s="92"/>
      <x:c r="K281" s="92"/>
    </x:row>
    <x:row r="282">
      <x:c r="A282" s="92"/>
      <x:c r="B282" s="92"/>
      <x:c r="C282" s="92"/>
      <x:c r="D282" s="92"/>
      <x:c r="E282" s="92"/>
      <x:c r="F282" s="92"/>
      <x:c r="G282" s="92"/>
      <x:c r="H282" s="92"/>
      <x:c r="I282" s="92"/>
      <x:c r="J282" s="92"/>
      <x:c r="K282" s="92"/>
    </x:row>
    <x:row r="283">
      <x:c r="A283" s="92"/>
      <x:c r="B283" s="92"/>
      <x:c r="C283" s="92"/>
      <x:c r="D283" s="92"/>
      <x:c r="E283" s="92"/>
      <x:c r="F283" s="92"/>
      <x:c r="G283" s="92"/>
      <x:c r="H283" s="92"/>
      <x:c r="I283" s="92"/>
      <x:c r="J283" s="92"/>
      <x:c r="K283" s="92"/>
    </x:row>
    <x:row r="284">
      <x:c r="A284" s="92"/>
      <x:c r="B284" s="92"/>
      <x:c r="C284" s="92"/>
      <x:c r="D284" s="92"/>
      <x:c r="E284" s="92"/>
      <x:c r="F284" s="92"/>
      <x:c r="G284" s="92"/>
      <x:c r="H284" s="92"/>
      <x:c r="I284" s="92"/>
      <x:c r="J284" s="92"/>
      <x:c r="K284" s="92"/>
    </x:row>
    <x:row r="285">
      <x:c r="A285" s="92"/>
      <x:c r="B285" s="92"/>
      <x:c r="C285" s="92"/>
      <x:c r="D285" s="92"/>
      <x:c r="E285" s="92"/>
      <x:c r="F285" s="92"/>
      <x:c r="G285" s="92"/>
      <x:c r="H285" s="92"/>
      <x:c r="I285" s="92"/>
      <x:c r="J285" s="92"/>
      <x:c r="K285" s="92"/>
    </x:row>
    <x:row r="286">
      <x:c r="A286" s="92"/>
      <x:c r="B286" s="92"/>
      <x:c r="C286" s="92"/>
      <x:c r="D286" s="92"/>
      <x:c r="E286" s="92"/>
      <x:c r="F286" s="92"/>
      <x:c r="G286" s="92"/>
      <x:c r="H286" s="92"/>
      <x:c r="I286" s="92"/>
      <x:c r="J286" s="92"/>
      <x:c r="K286" s="92"/>
    </x:row>
    <x:row r="287">
      <x:c r="A287" s="92"/>
      <x:c r="B287" s="92"/>
      <x:c r="C287" s="92"/>
      <x:c r="D287" s="92"/>
      <x:c r="E287" s="92"/>
      <x:c r="F287" s="92"/>
      <x:c r="G287" s="92"/>
      <x:c r="H287" s="92"/>
      <x:c r="I287" s="92"/>
      <x:c r="J287" s="92"/>
      <x:c r="K287" s="92"/>
    </x:row>
    <x:row r="288">
      <x:c r="A288" s="92"/>
      <x:c r="B288" s="92"/>
      <x:c r="C288" s="92"/>
      <x:c r="D288" s="92"/>
      <x:c r="E288" s="92"/>
      <x:c r="F288" s="92"/>
      <x:c r="G288" s="92"/>
      <x:c r="H288" s="92"/>
      <x:c r="I288" s="92"/>
      <x:c r="J288" s="92"/>
      <x:c r="K288" s="92"/>
    </x:row>
    <x:row r="289">
      <x:c r="A289" s="92"/>
      <x:c r="B289" s="92"/>
      <x:c r="C289" s="92"/>
      <x:c r="D289" s="92"/>
      <x:c r="E289" s="92"/>
      <x:c r="F289" s="92"/>
      <x:c r="G289" s="92"/>
      <x:c r="H289" s="92"/>
      <x:c r="I289" s="92"/>
      <x:c r="J289" s="92"/>
      <x:c r="K289" s="92"/>
    </x:row>
    <x:row r="290">
      <x:c r="A290" s="92"/>
      <x:c r="B290" s="92"/>
      <x:c r="C290" s="92"/>
      <x:c r="D290" s="92"/>
      <x:c r="E290" s="92"/>
      <x:c r="F290" s="92"/>
      <x:c r="G290" s="92"/>
      <x:c r="H290" s="92"/>
      <x:c r="I290" s="92"/>
      <x:c r="J290" s="92"/>
      <x:c r="K290" s="92"/>
    </x:row>
    <x:row r="291">
      <x:c r="A291" s="92"/>
      <x:c r="B291" s="92"/>
      <x:c r="C291" s="92"/>
      <x:c r="D291" s="92"/>
      <x:c r="E291" s="92"/>
      <x:c r="F291" s="92"/>
      <x:c r="G291" s="92"/>
      <x:c r="H291" s="92"/>
      <x:c r="I291" s="92"/>
      <x:c r="J291" s="92"/>
      <x:c r="K291" s="92"/>
    </x:row>
    <x:row r="292">
      <x:c r="A292" s="92"/>
      <x:c r="B292" s="92"/>
      <x:c r="C292" s="92"/>
      <x:c r="D292" s="92"/>
      <x:c r="E292" s="92"/>
      <x:c r="F292" s="92"/>
      <x:c r="G292" s="92"/>
      <x:c r="H292" s="92"/>
      <x:c r="I292" s="92"/>
      <x:c r="J292" s="92"/>
      <x:c r="K292" s="92"/>
    </x:row>
    <x:row r="293">
      <x:c r="A293" s="92"/>
      <x:c r="B293" s="92"/>
      <x:c r="C293" s="92"/>
      <x:c r="D293" s="92"/>
      <x:c r="E293" s="92"/>
      <x:c r="F293" s="92"/>
      <x:c r="G293" s="92"/>
      <x:c r="H293" s="92"/>
      <x:c r="I293" s="92"/>
      <x:c r="J293" s="92"/>
      <x:c r="K293" s="92"/>
    </x:row>
    <x:row r="294">
      <x:c r="A294" s="92"/>
      <x:c r="B294" s="92"/>
      <x:c r="C294" s="92"/>
      <x:c r="D294" s="92"/>
      <x:c r="E294" s="92"/>
      <x:c r="F294" s="92"/>
      <x:c r="G294" s="92"/>
      <x:c r="H294" s="92"/>
      <x:c r="I294" s="92"/>
      <x:c r="J294" s="92"/>
      <x:c r="K294" s="92"/>
    </x:row>
    <x:row r="295">
      <x:c r="A295" s="92"/>
      <x:c r="B295" s="92"/>
      <x:c r="C295" s="92"/>
      <x:c r="D295" s="92"/>
      <x:c r="E295" s="92"/>
      <x:c r="F295" s="92"/>
      <x:c r="G295" s="92"/>
      <x:c r="H295" s="92"/>
      <x:c r="I295" s="92"/>
      <x:c r="J295" s="92"/>
      <x:c r="K295" s="92"/>
    </x:row>
    <x:row r="296">
      <x:c r="A296" s="92"/>
      <x:c r="B296" s="92"/>
      <x:c r="C296" s="92"/>
      <x:c r="D296" s="92"/>
      <x:c r="E296" s="92"/>
      <x:c r="F296" s="92"/>
      <x:c r="G296" s="92"/>
      <x:c r="H296" s="92"/>
      <x:c r="I296" s="92"/>
      <x:c r="J296" s="92"/>
      <x:c r="K296" s="92"/>
    </x:row>
    <x:row r="297">
      <x:c r="A297" s="92"/>
      <x:c r="B297" s="92"/>
      <x:c r="C297" s="92"/>
      <x:c r="D297" s="92"/>
      <x:c r="E297" s="92"/>
      <x:c r="F297" s="92"/>
      <x:c r="G297" s="92"/>
      <x:c r="H297" s="92"/>
      <x:c r="I297" s="92"/>
      <x:c r="J297" s="92"/>
      <x:c r="K297" s="92"/>
    </x:row>
    <x:row r="298">
      <x:c r="A298" s="92"/>
      <x:c r="B298" s="92"/>
      <x:c r="C298" s="92"/>
      <x:c r="D298" s="92"/>
      <x:c r="E298" s="92"/>
      <x:c r="F298" s="92"/>
      <x:c r="G298" s="92"/>
      <x:c r="H298" s="92"/>
      <x:c r="I298" s="92"/>
      <x:c r="J298" s="92"/>
      <x:c r="K298" s="92"/>
    </x:row>
    <x:row r="299">
      <x:c r="A299" s="92"/>
      <x:c r="B299" s="92"/>
      <x:c r="C299" s="92"/>
      <x:c r="D299" s="92"/>
      <x:c r="E299" s="92"/>
      <x:c r="F299" s="92"/>
      <x:c r="G299" s="92"/>
      <x:c r="H299" s="92"/>
      <x:c r="I299" s="92"/>
      <x:c r="J299" s="92"/>
      <x:c r="K299" s="92"/>
    </x:row>
    <x:row r="300">
      <x:c r="A300" s="92"/>
      <x:c r="B300" s="92"/>
      <x:c r="C300" s="92"/>
      <x:c r="D300" s="92"/>
      <x:c r="E300" s="92"/>
      <x:c r="F300" s="92"/>
      <x:c r="G300" s="92"/>
      <x:c r="H300" s="92"/>
      <x:c r="I300" s="92"/>
      <x:c r="J300" s="92"/>
      <x:c r="K300" s="92"/>
    </x:row>
    <x:row r="301">
      <x:c r="A301" s="92"/>
      <x:c r="B301" s="92"/>
      <x:c r="C301" s="92"/>
      <x:c r="D301" s="92"/>
      <x:c r="E301" s="92"/>
      <x:c r="F301" s="92"/>
      <x:c r="G301" s="92"/>
      <x:c r="H301" s="92"/>
      <x:c r="I301" s="92"/>
      <x:c r="J301" s="92"/>
      <x:c r="K301" s="92"/>
    </x:row>
    <x:row r="302">
      <x:c r="A302" s="92"/>
      <x:c r="B302" s="92"/>
      <x:c r="C302" s="92"/>
      <x:c r="D302" s="92"/>
      <x:c r="E302" s="92"/>
      <x:c r="F302" s="92"/>
      <x:c r="G302" s="92"/>
      <x:c r="H302" s="92"/>
      <x:c r="I302" s="92"/>
      <x:c r="J302" s="92"/>
      <x:c r="K302" s="92"/>
    </x:row>
    <x:row r="303">
      <x:c r="A303" s="92"/>
      <x:c r="B303" s="92"/>
      <x:c r="C303" s="92"/>
      <x:c r="D303" s="92"/>
      <x:c r="E303" s="92"/>
      <x:c r="F303" s="92"/>
      <x:c r="G303" s="92"/>
      <x:c r="H303" s="92"/>
      <x:c r="I303" s="92"/>
      <x:c r="J303" s="92"/>
      <x:c r="K303" s="92"/>
    </x:row>
    <x:row r="304">
      <x:c r="A304" s="92"/>
      <x:c r="B304" s="92"/>
      <x:c r="C304" s="92"/>
      <x:c r="D304" s="92"/>
      <x:c r="E304" s="92"/>
      <x:c r="F304" s="92"/>
      <x:c r="G304" s="92"/>
      <x:c r="H304" s="92"/>
      <x:c r="I304" s="92"/>
      <x:c r="J304" s="92"/>
      <x:c r="K304" s="92"/>
    </x:row>
    <x:row r="305">
      <x:c r="A305" s="92"/>
      <x:c r="B305" s="92"/>
      <x:c r="C305" s="92"/>
      <x:c r="D305" s="92"/>
      <x:c r="E305" s="92"/>
      <x:c r="F305" s="92"/>
      <x:c r="G305" s="92"/>
      <x:c r="H305" s="92"/>
      <x:c r="I305" s="92"/>
      <x:c r="J305" s="92"/>
      <x:c r="K305" s="92"/>
    </x:row>
    <x:row r="306">
      <x:c r="A306" s="92"/>
      <x:c r="B306" s="92"/>
      <x:c r="C306" s="92"/>
      <x:c r="D306" s="92"/>
      <x:c r="E306" s="92"/>
      <x:c r="F306" s="92"/>
      <x:c r="G306" s="92"/>
      <x:c r="H306" s="92"/>
      <x:c r="I306" s="92"/>
      <x:c r="J306" s="92"/>
      <x:c r="K306" s="92"/>
    </x:row>
    <x:row r="307">
      <x:c r="A307" s="92"/>
      <x:c r="B307" s="92"/>
      <x:c r="C307" s="92"/>
      <x:c r="D307" s="92"/>
      <x:c r="E307" s="92"/>
      <x:c r="F307" s="92"/>
      <x:c r="G307" s="92"/>
      <x:c r="H307" s="92"/>
      <x:c r="I307" s="92"/>
      <x:c r="J307" s="92"/>
      <x:c r="K307" s="92"/>
    </x:row>
    <x:row r="308">
      <x:c r="A308" s="92"/>
      <x:c r="B308" s="92"/>
      <x:c r="C308" s="92"/>
      <x:c r="D308" s="92"/>
      <x:c r="E308" s="92"/>
      <x:c r="F308" s="92"/>
      <x:c r="G308" s="92"/>
      <x:c r="H308" s="92"/>
      <x:c r="I308" s="92"/>
      <x:c r="J308" s="92"/>
      <x:c r="K308" s="92"/>
    </x:row>
    <x:row r="309">
      <x:c r="A309" s="92"/>
      <x:c r="B309" s="92"/>
      <x:c r="C309" s="92"/>
      <x:c r="D309" s="92"/>
      <x:c r="E309" s="92"/>
      <x:c r="F309" s="92"/>
      <x:c r="G309" s="92"/>
      <x:c r="H309" s="92"/>
      <x:c r="I309" s="92"/>
      <x:c r="J309" s="92"/>
      <x:c r="K309" s="92"/>
    </x:row>
    <x:row r="310">
      <x:c r="A310" s="92"/>
      <x:c r="B310" s="92"/>
      <x:c r="C310" s="92"/>
      <x:c r="D310" s="92"/>
      <x:c r="E310" s="92"/>
      <x:c r="F310" s="92"/>
      <x:c r="G310" s="92"/>
      <x:c r="H310" s="92"/>
      <x:c r="I310" s="92"/>
      <x:c r="J310" s="92"/>
      <x:c r="K310" s="92"/>
    </x:row>
    <x:row r="311">
      <x:c r="A311" s="92"/>
      <x:c r="B311" s="92"/>
      <x:c r="C311" s="92"/>
      <x:c r="D311" s="92"/>
      <x:c r="E311" s="92"/>
      <x:c r="F311" s="92"/>
      <x:c r="G311" s="92"/>
      <x:c r="H311" s="92"/>
      <x:c r="I311" s="92"/>
      <x:c r="J311" s="92"/>
      <x:c r="K311" s="92"/>
    </x:row>
    <x:row r="312">
      <x:c r="A312" s="92"/>
      <x:c r="B312" s="92"/>
      <x:c r="C312" s="92"/>
      <x:c r="D312" s="92"/>
      <x:c r="E312" s="92"/>
      <x:c r="F312" s="92"/>
      <x:c r="G312" s="92"/>
      <x:c r="H312" s="92"/>
      <x:c r="I312" s="92"/>
      <x:c r="J312" s="92"/>
      <x:c r="K312" s="92"/>
    </x:row>
    <x:row r="313">
      <x:c r="A313" s="92"/>
      <x:c r="B313" s="92"/>
      <x:c r="C313" s="92"/>
      <x:c r="D313" s="92"/>
      <x:c r="E313" s="92"/>
      <x:c r="F313" s="92"/>
      <x:c r="G313" s="92"/>
      <x:c r="H313" s="92"/>
      <x:c r="I313" s="92"/>
      <x:c r="J313" s="92"/>
      <x:c r="K313" s="92"/>
    </x:row>
    <x:row r="314">
      <x:c r="A314" s="92"/>
      <x:c r="B314" s="92"/>
      <x:c r="C314" s="92"/>
      <x:c r="D314" s="92"/>
      <x:c r="E314" s="92"/>
      <x:c r="F314" s="92"/>
      <x:c r="G314" s="92"/>
      <x:c r="H314" s="92"/>
      <x:c r="I314" s="92"/>
      <x:c r="J314" s="92"/>
      <x:c r="K314" s="92"/>
    </x:row>
    <x:row r="315">
      <x:c r="A315" s="92"/>
      <x:c r="B315" s="92"/>
      <x:c r="C315" s="92"/>
      <x:c r="D315" s="92"/>
      <x:c r="E315" s="92"/>
      <x:c r="F315" s="92"/>
      <x:c r="G315" s="92"/>
      <x:c r="H315" s="92"/>
      <x:c r="I315" s="92"/>
      <x:c r="J315" s="92"/>
      <x:c r="K315" s="92"/>
    </x:row>
    <x:row r="316">
      <x:c r="A316" s="92"/>
      <x:c r="B316" s="92"/>
      <x:c r="C316" s="92"/>
      <x:c r="D316" s="92"/>
      <x:c r="E316" s="92"/>
      <x:c r="F316" s="92"/>
      <x:c r="G316" s="92"/>
      <x:c r="H316" s="92"/>
      <x:c r="I316" s="92"/>
      <x:c r="J316" s="92"/>
      <x:c r="K316" s="92"/>
    </x:row>
    <x:row r="317">
      <x:c r="A317" s="92"/>
      <x:c r="B317" s="92"/>
      <x:c r="C317" s="92"/>
      <x:c r="D317" s="92"/>
      <x:c r="E317" s="92"/>
      <x:c r="F317" s="92"/>
      <x:c r="G317" s="92"/>
      <x:c r="H317" s="92"/>
      <x:c r="I317" s="92"/>
      <x:c r="J317" s="92"/>
      <x:c r="K317" s="92"/>
    </x:row>
    <x:row r="318">
      <x:c r="A318" s="92"/>
      <x:c r="B318" s="92"/>
      <x:c r="C318" s="92"/>
      <x:c r="D318" s="92"/>
      <x:c r="E318" s="92"/>
      <x:c r="F318" s="92"/>
      <x:c r="G318" s="92"/>
      <x:c r="H318" s="92"/>
      <x:c r="I318" s="92"/>
      <x:c r="J318" s="92"/>
      <x:c r="K318" s="92"/>
    </x:row>
    <x:row r="319">
      <x:c r="A319" s="92"/>
      <x:c r="B319" s="92"/>
      <x:c r="C319" s="92"/>
      <x:c r="D319" s="92"/>
      <x:c r="E319" s="92"/>
      <x:c r="F319" s="92"/>
      <x:c r="G319" s="92"/>
      <x:c r="H319" s="92"/>
      <x:c r="I319" s="92"/>
      <x:c r="J319" s="92"/>
      <x:c r="K319" s="92"/>
    </x:row>
    <x:row r="320">
      <x:c r="A320" s="92"/>
      <x:c r="B320" s="92"/>
      <x:c r="C320" s="92"/>
      <x:c r="D320" s="92"/>
      <x:c r="E320" s="92"/>
      <x:c r="F320" s="92"/>
      <x:c r="G320" s="92"/>
      <x:c r="H320" s="92"/>
      <x:c r="I320" s="92"/>
      <x:c r="J320" s="92"/>
      <x:c r="K320" s="92"/>
    </x:row>
    <x:row r="321">
      <x:c r="A321" s="92"/>
      <x:c r="B321" s="92"/>
      <x:c r="C321" s="92"/>
      <x:c r="D321" s="92"/>
      <x:c r="E321" s="92"/>
      <x:c r="F321" s="92"/>
      <x:c r="G321" s="92"/>
      <x:c r="H321" s="92"/>
      <x:c r="I321" s="92"/>
      <x:c r="J321" s="92"/>
      <x:c r="K321" s="92"/>
    </x:row>
    <x:row r="322">
      <x:c r="A322" s="92"/>
      <x:c r="B322" s="92"/>
      <x:c r="C322" s="92"/>
      <x:c r="D322" s="92"/>
      <x:c r="E322" s="92"/>
      <x:c r="F322" s="92"/>
      <x:c r="G322" s="92"/>
      <x:c r="H322" s="92"/>
      <x:c r="I322" s="92"/>
      <x:c r="J322" s="92"/>
      <x:c r="K322" s="92"/>
    </x:row>
    <x:row r="323">
      <x:c r="A323" s="92"/>
      <x:c r="B323" s="92"/>
      <x:c r="C323" s="92"/>
      <x:c r="D323" s="92"/>
      <x:c r="E323" s="92"/>
      <x:c r="F323" s="92"/>
      <x:c r="G323" s="92"/>
      <x:c r="H323" s="92"/>
      <x:c r="I323" s="92"/>
      <x:c r="J323" s="92"/>
      <x:c r="K323" s="92"/>
    </x:row>
    <x:row r="324">
      <x:c r="A324" s="92"/>
      <x:c r="B324" s="92"/>
      <x:c r="C324" s="92"/>
      <x:c r="D324" s="92"/>
      <x:c r="E324" s="92"/>
      <x:c r="F324" s="92"/>
      <x:c r="G324" s="92"/>
      <x:c r="H324" s="92"/>
      <x:c r="I324" s="92"/>
      <x:c r="J324" s="92"/>
      <x:c r="K324" s="92"/>
    </x:row>
    <x:row r="325">
      <x:c r="A325" s="92"/>
      <x:c r="B325" s="92"/>
      <x:c r="C325" s="92"/>
      <x:c r="D325" s="92"/>
      <x:c r="E325" s="92"/>
      <x:c r="F325" s="92"/>
      <x:c r="G325" s="92"/>
      <x:c r="H325" s="92"/>
      <x:c r="I325" s="92"/>
      <x:c r="J325" s="92"/>
      <x:c r="K325" s="92"/>
    </x:row>
    <x:row r="326">
      <x:c r="A326" s="92"/>
      <x:c r="B326" s="92"/>
      <x:c r="C326" s="92"/>
      <x:c r="D326" s="92"/>
      <x:c r="E326" s="92"/>
      <x:c r="F326" s="92"/>
      <x:c r="G326" s="92"/>
      <x:c r="H326" s="92"/>
      <x:c r="I326" s="92"/>
      <x:c r="J326" s="92"/>
      <x:c r="K326" s="92"/>
    </x:row>
    <x:row r="327">
      <x:c r="A327" s="92"/>
      <x:c r="B327" s="92"/>
      <x:c r="C327" s="92"/>
      <x:c r="D327" s="92"/>
      <x:c r="E327" s="92"/>
      <x:c r="F327" s="92"/>
      <x:c r="G327" s="92"/>
      <x:c r="H327" s="92"/>
      <x:c r="I327" s="92"/>
      <x:c r="J327" s="92"/>
      <x:c r="K327" s="92"/>
    </x:row>
    <x:row r="328">
      <x:c r="A328" s="92"/>
      <x:c r="B328" s="92"/>
      <x:c r="C328" s="92"/>
      <x:c r="D328" s="92"/>
      <x:c r="E328" s="92"/>
      <x:c r="F328" s="92"/>
      <x:c r="G328" s="92"/>
      <x:c r="H328" s="92"/>
      <x:c r="I328" s="92"/>
      <x:c r="J328" s="92"/>
      <x:c r="K328" s="92"/>
    </x:row>
    <x:row r="329">
      <x:c r="A329" s="92"/>
      <x:c r="B329" s="92"/>
      <x:c r="C329" s="92"/>
      <x:c r="D329" s="92"/>
      <x:c r="E329" s="92"/>
      <x:c r="F329" s="92"/>
      <x:c r="G329" s="92"/>
      <x:c r="H329" s="92"/>
      <x:c r="I329" s="92"/>
      <x:c r="J329" s="92"/>
      <x:c r="K329" s="92"/>
    </x:row>
    <x:row r="330">
      <x:c r="A330" s="92"/>
      <x:c r="B330" s="92"/>
      <x:c r="C330" s="92"/>
      <x:c r="D330" s="92"/>
      <x:c r="E330" s="92"/>
      <x:c r="F330" s="92"/>
      <x:c r="G330" s="92"/>
      <x:c r="H330" s="92"/>
      <x:c r="I330" s="92"/>
      <x:c r="J330" s="92"/>
      <x:c r="K330" s="92"/>
    </x:row>
    <x:row r="331">
      <x:c r="A331" s="92"/>
      <x:c r="B331" s="92"/>
      <x:c r="C331" s="92"/>
      <x:c r="D331" s="92"/>
      <x:c r="E331" s="92"/>
      <x:c r="F331" s="92"/>
      <x:c r="G331" s="92"/>
      <x:c r="H331" s="92"/>
      <x:c r="I331" s="92"/>
      <x:c r="J331" s="92"/>
      <x:c r="K331" s="92"/>
    </x:row>
    <x:row r="332">
      <x:c r="A332" s="92"/>
      <x:c r="B332" s="92"/>
      <x:c r="C332" s="92"/>
      <x:c r="D332" s="92"/>
      <x:c r="E332" s="92"/>
      <x:c r="F332" s="92"/>
      <x:c r="G332" s="92"/>
      <x:c r="H332" s="92"/>
      <x:c r="I332" s="92"/>
      <x:c r="J332" s="92"/>
      <x:c r="K332" s="92"/>
    </x:row>
    <x:row r="333">
      <x:c r="A333" s="92"/>
      <x:c r="B333" s="92"/>
      <x:c r="C333" s="92"/>
      <x:c r="D333" s="92"/>
      <x:c r="E333" s="92"/>
      <x:c r="F333" s="92"/>
      <x:c r="G333" s="92"/>
      <x:c r="H333" s="92"/>
      <x:c r="I333" s="92"/>
      <x:c r="J333" s="92"/>
      <x:c r="K333" s="92"/>
    </x:row>
    <x:row r="334">
      <x:c r="A334" s="92"/>
      <x:c r="B334" s="92"/>
      <x:c r="C334" s="92"/>
      <x:c r="D334" s="92"/>
      <x:c r="E334" s="92"/>
      <x:c r="F334" s="92"/>
      <x:c r="G334" s="92"/>
      <x:c r="H334" s="92"/>
      <x:c r="I334" s="92"/>
      <x:c r="J334" s="92"/>
      <x:c r="K334" s="92"/>
    </x:row>
    <x:row r="335">
      <x:c r="A335" s="92"/>
      <x:c r="B335" s="92"/>
      <x:c r="C335" s="92"/>
      <x:c r="D335" s="92"/>
      <x:c r="E335" s="92"/>
      <x:c r="F335" s="92"/>
      <x:c r="G335" s="92"/>
      <x:c r="H335" s="92"/>
      <x:c r="I335" s="92"/>
      <x:c r="J335" s="92"/>
      <x:c r="K335" s="92"/>
    </x:row>
    <x:row r="336">
      <x:c r="A336" s="92"/>
      <x:c r="B336" s="92"/>
      <x:c r="C336" s="92"/>
      <x:c r="D336" s="92"/>
      <x:c r="E336" s="92"/>
      <x:c r="F336" s="92"/>
      <x:c r="G336" s="92"/>
      <x:c r="H336" s="92"/>
      <x:c r="I336" s="92"/>
      <x:c r="J336" s="92"/>
      <x:c r="K336" s="92"/>
    </x:row>
    <x:row r="337">
      <x:c r="A337" s="92"/>
      <x:c r="B337" s="92"/>
      <x:c r="C337" s="92"/>
      <x:c r="D337" s="92"/>
      <x:c r="E337" s="92"/>
      <x:c r="F337" s="92"/>
      <x:c r="G337" s="92"/>
      <x:c r="H337" s="92"/>
      <x:c r="I337" s="92"/>
      <x:c r="J337" s="92"/>
      <x:c r="K337" s="92"/>
    </x:row>
    <x:row r="338">
      <x:c r="A338" s="92"/>
      <x:c r="B338" s="92"/>
      <x:c r="C338" s="92"/>
      <x:c r="D338" s="92"/>
      <x:c r="E338" s="92"/>
      <x:c r="F338" s="92"/>
      <x:c r="G338" s="92"/>
      <x:c r="H338" s="92"/>
      <x:c r="I338" s="92"/>
      <x:c r="J338" s="92"/>
      <x:c r="K338" s="92"/>
    </x:row>
    <x:row r="339">
      <x:c r="A339" s="92"/>
      <x:c r="B339" s="92"/>
      <x:c r="C339" s="92"/>
      <x:c r="D339" s="92"/>
      <x:c r="E339" s="92"/>
      <x:c r="F339" s="92"/>
      <x:c r="G339" s="92"/>
      <x:c r="H339" s="92"/>
      <x:c r="I339" s="92"/>
      <x:c r="J339" s="92"/>
      <x:c r="K339" s="92"/>
    </x:row>
    <x:row r="340">
      <x:c r="A340" s="92"/>
      <x:c r="B340" s="92"/>
      <x:c r="C340" s="92"/>
      <x:c r="D340" s="92"/>
      <x:c r="E340" s="92"/>
      <x:c r="F340" s="92"/>
      <x:c r="G340" s="92"/>
      <x:c r="H340" s="92"/>
      <x:c r="I340" s="92"/>
      <x:c r="J340" s="92"/>
      <x:c r="K340" s="92"/>
    </x:row>
    <x:row r="341">
      <x:c r="A341" s="95"/>
      <x:c r="B341" s="95"/>
      <x:c r="C341" s="95"/>
      <x:c r="D341" s="95"/>
      <x:c r="E341" s="95"/>
      <x:c r="F341" s="95"/>
      <x:c r="G341" s="95"/>
      <x:c r="H341" s="95"/>
      <x:c r="I341" s="95"/>
      <x:c r="J341" s="95"/>
      <x:c r="K341" s="95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e5d4560f53da454c"/>
  </x:tableParts>
</x:worksheet>
</file>